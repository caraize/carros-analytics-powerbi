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jeto-PowerBI\Dashboard-carros\"/>
    </mc:Choice>
  </mc:AlternateContent>
  <xr:revisionPtr revIDLastSave="0" documentId="13_ncr:1_{F748E34E-DACD-46CA-AD77-B01BB4CCDF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definedNames>
    <definedName name="_xlnm._FilterDatabase" localSheetId="0" hidden="1">Planilha1!$A$1:$R$396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1" i="1" l="1"/>
  <c r="H178" i="1"/>
  <c r="H44" i="1"/>
  <c r="H284" i="1"/>
  <c r="H3" i="1"/>
  <c r="H164" i="1"/>
  <c r="H290" i="1"/>
  <c r="H291" i="1"/>
  <c r="H249" i="1"/>
  <c r="H229" i="1"/>
  <c r="H120" i="1"/>
  <c r="H5" i="1"/>
  <c r="H19" i="1"/>
  <c r="H6" i="1"/>
  <c r="H7" i="1"/>
  <c r="H8" i="1"/>
  <c r="H9" i="1"/>
  <c r="H10" i="1"/>
  <c r="H11" i="1"/>
  <c r="H12" i="1"/>
  <c r="H13" i="1"/>
  <c r="H14" i="1"/>
  <c r="H15" i="1"/>
  <c r="H16" i="1"/>
  <c r="H179" i="1"/>
  <c r="H307" i="1"/>
  <c r="H308" i="1"/>
  <c r="H17" i="1"/>
  <c r="H18" i="1"/>
  <c r="H180" i="1"/>
  <c r="H181" i="1"/>
  <c r="H289" i="1"/>
  <c r="H309" i="1"/>
  <c r="H117" i="1"/>
  <c r="H310" i="1"/>
  <c r="H311" i="1"/>
  <c r="H182" i="1"/>
  <c r="H183" i="1"/>
  <c r="H184" i="1"/>
  <c r="H185" i="1"/>
  <c r="H186" i="1"/>
  <c r="H187" i="1"/>
  <c r="H122" i="1"/>
  <c r="H111" i="1"/>
  <c r="H112" i="1"/>
  <c r="H113" i="1"/>
  <c r="H188" i="1"/>
  <c r="H189" i="1"/>
  <c r="H190" i="1"/>
  <c r="H191" i="1"/>
  <c r="H392" i="1"/>
  <c r="H2" i="1"/>
  <c r="H35" i="1"/>
  <c r="H49" i="1"/>
  <c r="H50" i="1"/>
  <c r="H377" i="1"/>
  <c r="H388" i="1"/>
  <c r="H51" i="1"/>
  <c r="H166" i="1"/>
  <c r="H33" i="1"/>
  <c r="H52" i="1"/>
  <c r="H292" i="1"/>
  <c r="H293" i="1"/>
  <c r="H378" i="1"/>
  <c r="H234" i="1"/>
  <c r="H235" i="1"/>
  <c r="H236" i="1"/>
  <c r="H237" i="1"/>
  <c r="H238" i="1"/>
  <c r="H53" i="1"/>
  <c r="H25" i="1"/>
  <c r="H239" i="1"/>
  <c r="H240" i="1"/>
  <c r="H241" i="1"/>
  <c r="H242" i="1"/>
  <c r="H243" i="1"/>
  <c r="H244" i="1"/>
  <c r="H245" i="1"/>
  <c r="H104" i="1"/>
  <c r="H246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123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26" i="1"/>
  <c r="H87" i="1"/>
  <c r="H88" i="1"/>
  <c r="H89" i="1"/>
  <c r="H90" i="1"/>
  <c r="H91" i="1"/>
  <c r="H92" i="1"/>
  <c r="H93" i="1"/>
  <c r="H94" i="1"/>
  <c r="H27" i="1"/>
  <c r="H105" i="1"/>
  <c r="H106" i="1"/>
  <c r="H95" i="1"/>
  <c r="H96" i="1"/>
  <c r="H391" i="1"/>
  <c r="H192" i="1"/>
  <c r="H20" i="1"/>
  <c r="H193" i="1"/>
  <c r="H194" i="1"/>
  <c r="H195" i="1"/>
  <c r="H21" i="1"/>
  <c r="H196" i="1"/>
  <c r="H197" i="1"/>
  <c r="H294" i="1"/>
  <c r="H295" i="1"/>
  <c r="H296" i="1"/>
  <c r="H297" i="1"/>
  <c r="H298" i="1"/>
  <c r="H299" i="1"/>
  <c r="H300" i="1"/>
  <c r="H301" i="1"/>
  <c r="H302" i="1"/>
  <c r="H379" i="1"/>
  <c r="H380" i="1"/>
  <c r="H381" i="1"/>
  <c r="H382" i="1"/>
  <c r="H198" i="1"/>
  <c r="H115" i="1"/>
  <c r="H232" i="1"/>
  <c r="H383" i="1"/>
  <c r="H36" i="1"/>
  <c r="H37" i="1"/>
  <c r="H288" i="1"/>
  <c r="H231" i="1"/>
  <c r="H247" i="1"/>
  <c r="H314" i="1"/>
  <c r="H167" i="1"/>
  <c r="H165" i="1"/>
  <c r="H168" i="1"/>
  <c r="H199" i="1"/>
  <c r="H200" i="1"/>
  <c r="H124" i="1"/>
  <c r="H125" i="1"/>
  <c r="H126" i="1"/>
  <c r="H354" i="1"/>
  <c r="H22" i="1"/>
  <c r="H201" i="1"/>
  <c r="H202" i="1"/>
  <c r="H203" i="1"/>
  <c r="H355" i="1"/>
  <c r="H356" i="1"/>
  <c r="H357" i="1"/>
  <c r="H358" i="1"/>
  <c r="H315" i="1"/>
  <c r="H127" i="1"/>
  <c r="H118" i="1"/>
  <c r="H97" i="1"/>
  <c r="H351" i="1"/>
  <c r="H250" i="1"/>
  <c r="H204" i="1"/>
  <c r="H316" i="1"/>
  <c r="H205" i="1"/>
  <c r="H206" i="1"/>
  <c r="H207" i="1"/>
  <c r="H102" i="1"/>
  <c r="H38" i="1"/>
  <c r="H119" i="1"/>
  <c r="H285" i="1"/>
  <c r="H361" i="1"/>
  <c r="H317" i="1"/>
  <c r="H362" i="1"/>
  <c r="H169" i="1"/>
  <c r="H128" i="1"/>
  <c r="H129" i="1"/>
  <c r="H103" i="1"/>
  <c r="H43" i="1"/>
  <c r="H385" i="1"/>
  <c r="H98" i="1"/>
  <c r="H363" i="1"/>
  <c r="H45" i="1"/>
  <c r="H318" i="1"/>
  <c r="H319" i="1"/>
  <c r="H99" i="1"/>
  <c r="H320" i="1"/>
  <c r="H321" i="1"/>
  <c r="H322" i="1"/>
  <c r="H323" i="1"/>
  <c r="H324" i="1"/>
  <c r="H251" i="1"/>
  <c r="H325" i="1"/>
  <c r="H252" i="1"/>
  <c r="H326" i="1"/>
  <c r="H327" i="1"/>
  <c r="H253" i="1"/>
  <c r="H328" i="1"/>
  <c r="H329" i="1"/>
  <c r="H330" i="1"/>
  <c r="H254" i="1"/>
  <c r="H331" i="1"/>
  <c r="H255" i="1"/>
  <c r="H332" i="1"/>
  <c r="H225" i="1"/>
  <c r="H333" i="1"/>
  <c r="H256" i="1"/>
  <c r="H257" i="1"/>
  <c r="H258" i="1"/>
  <c r="H259" i="1"/>
  <c r="H260" i="1"/>
  <c r="H261" i="1"/>
  <c r="H226" i="1"/>
  <c r="H262" i="1"/>
  <c r="H263" i="1"/>
  <c r="H264" i="1"/>
  <c r="H265" i="1"/>
  <c r="H31" i="1"/>
  <c r="H266" i="1"/>
  <c r="H227" i="1"/>
  <c r="H267" i="1"/>
  <c r="H268" i="1"/>
  <c r="H269" i="1"/>
  <c r="H270" i="1"/>
  <c r="H271" i="1"/>
  <c r="H208" i="1"/>
  <c r="H272" i="1"/>
  <c r="H130" i="1"/>
  <c r="H131" i="1"/>
  <c r="H209" i="1"/>
  <c r="H132" i="1"/>
  <c r="H133" i="1"/>
  <c r="H134" i="1"/>
  <c r="H135" i="1"/>
  <c r="H136" i="1"/>
  <c r="H137" i="1"/>
  <c r="H138" i="1"/>
  <c r="H139" i="1"/>
  <c r="H140" i="1"/>
  <c r="H141" i="1"/>
  <c r="H364" i="1"/>
  <c r="H273" i="1"/>
  <c r="H334" i="1"/>
  <c r="H210" i="1"/>
  <c r="H390" i="1"/>
  <c r="H353" i="1"/>
  <c r="H335" i="1"/>
  <c r="H336" i="1"/>
  <c r="H337" i="1"/>
  <c r="H338" i="1"/>
  <c r="H274" i="1"/>
  <c r="H339" i="1"/>
  <c r="H142" i="1"/>
  <c r="H143" i="1"/>
  <c r="H144" i="1"/>
  <c r="H145" i="1"/>
  <c r="H146" i="1"/>
  <c r="H147" i="1"/>
  <c r="H248" i="1"/>
  <c r="H286" i="1"/>
  <c r="H340" i="1"/>
  <c r="H341" i="1"/>
  <c r="H342" i="1"/>
  <c r="H275" i="1"/>
  <c r="H23" i="1"/>
  <c r="H352" i="1"/>
  <c r="H276" i="1"/>
  <c r="H343" i="1"/>
  <c r="H365" i="1"/>
  <c r="H277" i="1"/>
  <c r="H28" i="1"/>
  <c r="H29" i="1"/>
  <c r="H107" i="1"/>
  <c r="H148" i="1"/>
  <c r="H224" i="1"/>
  <c r="H149" i="1"/>
  <c r="H150" i="1"/>
  <c r="H151" i="1"/>
  <c r="H211" i="1"/>
  <c r="H114" i="1"/>
  <c r="H303" i="1"/>
  <c r="H304" i="1"/>
  <c r="H305" i="1"/>
  <c r="H366" i="1"/>
  <c r="H278" i="1"/>
  <c r="H212" i="1"/>
  <c r="H279" i="1"/>
  <c r="H213" i="1"/>
  <c r="H233" i="1"/>
  <c r="H4" i="1"/>
  <c r="H46" i="1"/>
  <c r="H214" i="1"/>
  <c r="H215" i="1"/>
  <c r="H312" i="1"/>
  <c r="H30" i="1"/>
  <c r="H216" i="1"/>
  <c r="H217" i="1"/>
  <c r="H218" i="1"/>
  <c r="H219" i="1"/>
  <c r="H359" i="1"/>
  <c r="H360" i="1"/>
  <c r="H396" i="1"/>
  <c r="H367" i="1"/>
  <c r="H368" i="1"/>
  <c r="H280" i="1"/>
  <c r="H220" i="1"/>
  <c r="H41" i="1"/>
  <c r="H42" i="1"/>
  <c r="H101" i="1"/>
  <c r="H369" i="1"/>
  <c r="H109" i="1"/>
  <c r="H230" i="1"/>
  <c r="H370" i="1"/>
  <c r="H386" i="1"/>
  <c r="H394" i="1"/>
  <c r="H48" i="1"/>
  <c r="H344" i="1"/>
  <c r="H170" i="1"/>
  <c r="H283" i="1"/>
  <c r="H171" i="1"/>
  <c r="H221" i="1"/>
  <c r="H152" i="1"/>
  <c r="H40" i="1"/>
  <c r="H108" i="1"/>
  <c r="H371" i="1"/>
  <c r="H372" i="1"/>
  <c r="H345" i="1"/>
  <c r="H153" i="1"/>
  <c r="H116" i="1"/>
  <c r="H32" i="1"/>
  <c r="H154" i="1"/>
  <c r="H172" i="1"/>
  <c r="H173" i="1"/>
  <c r="H346" i="1"/>
  <c r="H313" i="1"/>
  <c r="H174" i="1"/>
  <c r="H373" i="1"/>
  <c r="H155" i="1"/>
  <c r="H281" i="1"/>
  <c r="H175" i="1"/>
  <c r="H306" i="1"/>
  <c r="H374" i="1"/>
  <c r="H156" i="1"/>
  <c r="H393" i="1"/>
  <c r="H157" i="1"/>
  <c r="H158" i="1"/>
  <c r="H222" i="1"/>
  <c r="H228" i="1"/>
  <c r="H347" i="1"/>
  <c r="H47" i="1"/>
  <c r="H375" i="1"/>
  <c r="H34" i="1"/>
  <c r="H223" i="1"/>
  <c r="H100" i="1"/>
  <c r="H159" i="1"/>
  <c r="H176" i="1"/>
  <c r="H348" i="1"/>
  <c r="H389" i="1"/>
  <c r="H39" i="1"/>
  <c r="H110" i="1"/>
  <c r="H349" i="1"/>
  <c r="H160" i="1"/>
  <c r="H282" i="1"/>
  <c r="H161" i="1"/>
  <c r="H162" i="1"/>
  <c r="H163" i="1"/>
  <c r="H376" i="1"/>
  <c r="H24" i="1"/>
  <c r="H395" i="1"/>
  <c r="H350" i="1"/>
  <c r="H384" i="1"/>
  <c r="H287" i="1"/>
  <c r="H387" i="1"/>
  <c r="H177" i="1"/>
</calcChain>
</file>

<file path=xl/sharedStrings.xml><?xml version="1.0" encoding="utf-8"?>
<sst xmlns="http://schemas.openxmlformats.org/spreadsheetml/2006/main" count="2565" uniqueCount="747">
  <si>
    <t>Placa</t>
  </si>
  <si>
    <t>Versão</t>
  </si>
  <si>
    <t>Ano</t>
  </si>
  <si>
    <t>Cor</t>
  </si>
  <si>
    <t>Km</t>
  </si>
  <si>
    <t>FIPE + Opc</t>
  </si>
  <si>
    <t>Anúncio Atacado</t>
  </si>
  <si>
    <t>Anúncio x FIPE</t>
  </si>
  <si>
    <t>Laudo Cautelar</t>
  </si>
  <si>
    <t>RNM8A45</t>
  </si>
  <si>
    <t>MOBI LIKE 1.0 FIRE FLEX 5P.</t>
  </si>
  <si>
    <t>2021/2022</t>
  </si>
  <si>
    <t>PRATA</t>
  </si>
  <si>
    <t>ATACADO</t>
  </si>
  <si>
    <t>AR</t>
  </si>
  <si>
    <t>https://sv8.supervisao.com/Laudo/ImprimirFixo?IdLaudo=BCD58D04-C8F6-4996-B49C-95F13BEBF328</t>
  </si>
  <si>
    <t>EMO5D85</t>
  </si>
  <si>
    <t>KWID ZEN 1.0 FLEX 12V 5P MEC.</t>
  </si>
  <si>
    <t>2023/2024</t>
  </si>
  <si>
    <t>BRANCO</t>
  </si>
  <si>
    <t>A</t>
  </si>
  <si>
    <t>-</t>
  </si>
  <si>
    <t>SIR7B56</t>
  </si>
  <si>
    <t>R</t>
  </si>
  <si>
    <t>SIS3B32</t>
  </si>
  <si>
    <t>CRONOS DRIVE 1.0 6V FLEX</t>
  </si>
  <si>
    <t>PRETO</t>
  </si>
  <si>
    <t>https://sv8.supervisao.com/Laudo/ImprimirFixo?IdLaudo=326CD87A-B2E3-4A99-9896-C87670AF11E9</t>
  </si>
  <si>
    <t>RUG5C79</t>
  </si>
  <si>
    <t>PULSE AUDACE 1.0 TURBO 200 FLEX AUT.</t>
  </si>
  <si>
    <t>2022/2022</t>
  </si>
  <si>
    <t>VERMELHO</t>
  </si>
  <si>
    <t>https://sv8.supervisao.com/Laudo/ImprimirFixo?IdLaudo=31AE36A5-C9E9-4B11-B6C3-2C96AEC2C28C</t>
  </si>
  <si>
    <t>SYU9C59</t>
  </si>
  <si>
    <t>208 LIKE 1.0 FLEX 6V 5P MEC. (MÍDIA)</t>
  </si>
  <si>
    <t>2024/2024</t>
  </si>
  <si>
    <t>EVW4E11</t>
  </si>
  <si>
    <t>LEAF AUT. (ELÉTRICO)</t>
  </si>
  <si>
    <t>https://sv8.supervisao.com/Laudo/ImprimirFixo?IdLaudo=B6A5CE70-69CC-4E7E-A6CC-84343BA739E3</t>
  </si>
  <si>
    <t>GIW4I02</t>
  </si>
  <si>
    <t>S10 PICK-UP LS 2.8 TDI 4X4 CD DIES. MEC.</t>
  </si>
  <si>
    <t>EOP2E15</t>
  </si>
  <si>
    <t>2022/2023</t>
  </si>
  <si>
    <t>STD9E18</t>
  </si>
  <si>
    <t>POLO TRACK 1.0 FLEX 12V 5P</t>
  </si>
  <si>
    <t>2024/2025</t>
  </si>
  <si>
    <t>https://sv8.supervisao.com/Laudo/ImprimirFixo?IdLaudo=4F57774D-8AC9-4B06-A526-DF0E16094819</t>
  </si>
  <si>
    <t>RNZ9F94</t>
  </si>
  <si>
    <t>ONIX SEDAN PLUS LT 1.0 12V FLEX 4P MEC.</t>
  </si>
  <si>
    <t>QNT2G73</t>
  </si>
  <si>
    <t>KICKS SV 1.6 16V FLEXSTAR 5P AUT.</t>
  </si>
  <si>
    <t>2018/2018</t>
  </si>
  <si>
    <t>CINZA</t>
  </si>
  <si>
    <t>https://sv8.supervisao.com/Laudo/ImprimirFixo?IdLaudo=68535593-87BF-4754-901F-40DA0E81A385</t>
  </si>
  <si>
    <t>QQN5455</t>
  </si>
  <si>
    <t>AMAROK CS2.0 16V/S2.0 16V TDI 4X4 DIESEL</t>
  </si>
  <si>
    <t>2019/2019</t>
  </si>
  <si>
    <t>QQN5429</t>
  </si>
  <si>
    <t>AMAROK SE CD 2.0 16V TDI 4X4 DIESEL</t>
  </si>
  <si>
    <t>https://sv8.supervisao.com/Laudo/ImprimirFixo?IdLaudo=D5B2632A-046C-4DF1-A5ED-EA7AD1DC8263</t>
  </si>
  <si>
    <t>QQS3075</t>
  </si>
  <si>
    <t>QQS3104</t>
  </si>
  <si>
    <t>https://sv8.supervisao.com/Laudo/ImprimirFixo?IdLaudo=6DD83B32-5F78-4122-A076-5EF238C03A37</t>
  </si>
  <si>
    <t>QQS3089</t>
  </si>
  <si>
    <t>https://sv8.supervisao.com/Laudo/ImprimirFixo?IdLaudo=69A06920-682F-4980-8FBA-815CAA8BADAD</t>
  </si>
  <si>
    <t>QUL9723</t>
  </si>
  <si>
    <t>QUM0014</t>
  </si>
  <si>
    <t>https://sv8.supervisao.com/Laudo/ImprimirFixo?IdLaudo=7144EACD-E793-47D4-925A-5994C7D7EAE3</t>
  </si>
  <si>
    <t>QUM4162</t>
  </si>
  <si>
    <t>https://sv8.supervisao.com/Laudo/ImprimirFixo?IdLaudo=D3B15B8F-AF2B-41A3-A268-06012753E7E1</t>
  </si>
  <si>
    <t>QUL9713</t>
  </si>
  <si>
    <t>https://sv8.supervisao.com/Laudo/ImprimirFixo?IdLaudo=CA000499-44E1-48DF-9F64-631B91122C6C</t>
  </si>
  <si>
    <t>QUM4157</t>
  </si>
  <si>
    <t>https://sv8.supervisao.com/Laudo/ImprimirFixo?IdLaudo=1CA5BACF-49ED-48FD-8B6B-C00E994ED33A</t>
  </si>
  <si>
    <t>QUM4146</t>
  </si>
  <si>
    <t>https://sv8.supervisao.com/Laudo/ImprimirFixo?IdLaudo=D13156DE-CB67-4EF7-9546-A3DD301245BF</t>
  </si>
  <si>
    <t>QUL9711</t>
  </si>
  <si>
    <t>https://sv8.supervisao.com/Laudo/ImprimirFixo?IdLaudo=5B2D2FE7-96E5-4237-B5F7-9E0B849EC841</t>
  </si>
  <si>
    <t>QUO0G01</t>
  </si>
  <si>
    <t>https://sv8.supervisao.com/Laudo/ImprimirFixo?IdLaudo=BD0DF149-B49A-4333-A7F4-4DE0F5A01199</t>
  </si>
  <si>
    <t>QUI9229</t>
  </si>
  <si>
    <t>2019/2020</t>
  </si>
  <si>
    <t>QUQ1888</t>
  </si>
  <si>
    <t>S10 PICK-UP LS 2.8 TDI 4X4 CS DIESEL</t>
  </si>
  <si>
    <t>https://sv8.supervisao.com/Laudo/ImprimirFixo?IdLaudo=CBB8F780-3751-4852-970C-D42ABD023CA8</t>
  </si>
  <si>
    <t>QUQ1889</t>
  </si>
  <si>
    <t>https://sv8.supervisao.com/Laudo/ImprimirFixo?IdLaudo=965EEDFE-3332-4EA5-B69C-9C082DB5546A</t>
  </si>
  <si>
    <t>QWW0584</t>
  </si>
  <si>
    <t>https://sv8.supervisao.com/Laudo/ImprimirFixo?IdLaudo=101ADAD1-AB58-49B7-8573-1521D258EBDD</t>
  </si>
  <si>
    <t>QUM7790</t>
  </si>
  <si>
    <t>https://sv8.supervisao.com/Laudo/ImprimirFixo?IdLaudo=4BC431F8-6379-42EC-AE1E-B9220BF71074</t>
  </si>
  <si>
    <t>QUS2J24</t>
  </si>
  <si>
    <t>QUW5680</t>
  </si>
  <si>
    <t>https://sv8.supervisao.com/Laudo/ImprimirFixo?IdLaudo=24D3866A-B3E7-4105-931F-DD27E9E6E0DD</t>
  </si>
  <si>
    <t>QXD4114</t>
  </si>
  <si>
    <t>RENEGADE LONGITUDE 1.8 4X2 FLEX 16V AUT.</t>
  </si>
  <si>
    <t>https://sv8.supervisao.com/Laudo/ImprimirFixo?IdLaudo=3BC2871A-2FA3-41D4-9E14-4EFF23E2E2D4</t>
  </si>
  <si>
    <t>RGD7J73</t>
  </si>
  <si>
    <t>2020/2021</t>
  </si>
  <si>
    <t>RBW1D38</t>
  </si>
  <si>
    <t>KA 1.0 SE/SE PLUS TIVCT FLEX 5P</t>
  </si>
  <si>
    <t>RMF5B96</t>
  </si>
  <si>
    <t>RMJ9H19</t>
  </si>
  <si>
    <t>2021/2021</t>
  </si>
  <si>
    <t>RMF9A16</t>
  </si>
  <si>
    <t>RML9B29</t>
  </si>
  <si>
    <t>RML6A00</t>
  </si>
  <si>
    <t>https://sv8.supervisao.com/Laudo/ImprimirFixo?IdLaudo=D178DBBF-D30A-4719-BE71-C497F3CDFFD8</t>
  </si>
  <si>
    <t>RML9C66</t>
  </si>
  <si>
    <t>https://sv8.supervisao.com/Laudo/ImprimirFixo?IdLaudo=3F7EE7BF-F647-43A2-9115-514B6C048AA2</t>
  </si>
  <si>
    <t>RMJ1G76</t>
  </si>
  <si>
    <t>https://sv8.supervisao.com/Laudo/ImprimirFixo?IdLaudo=5A98795D-22E3-4B91-A707-4F87F2252905</t>
  </si>
  <si>
    <t>RMU3I87</t>
  </si>
  <si>
    <t>https://sv8.supervisao.com/Laudo/ImprimirFixo?IdLaudo=0267D4F4-C930-4624-8346-22C6B575589D</t>
  </si>
  <si>
    <t>RMV6F14</t>
  </si>
  <si>
    <t>https://sv8.supervisao.com/Laudo/ImprimirFixo?IdLaudo=54FFA562-2C46-499F-9A89-CC4CD9DDC8F5</t>
  </si>
  <si>
    <t>RNH5F07</t>
  </si>
  <si>
    <t>HILUX CD 4X4 2.8 DIESEL MEC.</t>
  </si>
  <si>
    <t>https://sv8.supervisao.com/Laudo/ImprimirFixo?IdLaudo=737F8792-0B9B-4ADE-8471-4B90D77B8A51</t>
  </si>
  <si>
    <t>RNH5F23</t>
  </si>
  <si>
    <t>https://sv8.supervisao.com/Laudo/ImprimirFixo?IdLaudo=DBD66885-2F67-4950-A646-A1DE7CCF768D</t>
  </si>
  <si>
    <t>RNO0E75</t>
  </si>
  <si>
    <t>https://sv8.supervisao.com/Laudo/ImprimirFixo?IdLaudo=801D7D6B-7DCD-4E18-AE6C-F930F2FCD781</t>
  </si>
  <si>
    <t>RNJ0E72</t>
  </si>
  <si>
    <t>https://sv8.supervisao.com/Laudo/ImprimirFixo?IdLaudo=1251116A-87D5-4F96-8317-ABB57DF6E4C2</t>
  </si>
  <si>
    <t>RNJ0E61</t>
  </si>
  <si>
    <t>https://sv8.supervisao.com/Laudo/ImprimirFixo?IdLaudo=BB77A823-0E51-482E-B426-F34997C7510D</t>
  </si>
  <si>
    <t>RNJ0E35</t>
  </si>
  <si>
    <t>https://sv8.supervisao.com/Laudo/ImprimirFixo?IdLaudo=C46DE281-A0FF-47F7-BB37-44FCE8BBFBC8</t>
  </si>
  <si>
    <t>RNJ0E29</t>
  </si>
  <si>
    <t>https://sv8.supervisao.com/Laudo/ImprimirFixo?IdLaudo=32BD23B7-1D58-494E-9B7D-3AE02C438483</t>
  </si>
  <si>
    <t>RTN9E94</t>
  </si>
  <si>
    <t>XC 40 T-5 INSC. EXPRE. 1.5 FWD (HÍBRIDO)</t>
  </si>
  <si>
    <t>https://sv8.supervisao.com/Laudo/ImprimirFixo?IdLaudo=51D6317A-1F9D-4D5A-84FA-4F7DCACBFB95</t>
  </si>
  <si>
    <t>RTO7I34</t>
  </si>
  <si>
    <t>2008 ALLURE PACK 1.6 FLEX 16V AUT.</t>
  </si>
  <si>
    <t>https://sv8.supervisao.com/Laudo/ImprimirFixo?IdLaudo=6042B90E-BBB9-4D3A-8A9A-47065CA4D866</t>
  </si>
  <si>
    <t>RTS8E04</t>
  </si>
  <si>
    <t>COMPASS LONG. T270 1.3 TB 4X2 FLEX AUT.</t>
  </si>
  <si>
    <t>RTS2A84</t>
  </si>
  <si>
    <t>FIORINO ENDURANCE EVO 1.4 FLEX 8V 2P</t>
  </si>
  <si>
    <t>https://sv8.supervisao.com/Laudo/ImprimirFixo?IdLaudo=0B8A6A99-CC1D-437D-A2F3-275B1FF74003</t>
  </si>
  <si>
    <t>RTS2B17</t>
  </si>
  <si>
    <t>https://sv8.supervisao.com/Laudo/ImprimirFixo?IdLaudo=D795871B-00DA-4A67-84B8-46E9B37320EA</t>
  </si>
  <si>
    <t>RTS9B74</t>
  </si>
  <si>
    <t>STRADA ENDURANCE 1.4 FLEX 8V CS PLUS</t>
  </si>
  <si>
    <t>https://sv8.supervisao.com/Laudo/ImprimirFixo?IdLaudo=96C120C6-54E5-4811-A21D-2304AD6F6FA4</t>
  </si>
  <si>
    <t>RTV9B87</t>
  </si>
  <si>
    <t>TORO FREEDOM 1.3 T270 4X2 FLEX AUT.</t>
  </si>
  <si>
    <t>RTY1D50</t>
  </si>
  <si>
    <t>https://sv8.supervisao.com/Laudo/ImprimirFixo?IdLaudo=175185A9-657F-4706-89FB-E3A2E57F4514</t>
  </si>
  <si>
    <t>RTY3G63</t>
  </si>
  <si>
    <t>LOGAN ZEN FLEX 1.0 12V 4P MEC.</t>
  </si>
  <si>
    <t>https://sv8.supervisao.com/Laudo/ImprimirFixo?IdLaudo=7E8DBB1E-91F7-4989-A5A1-A05ABD0FBD85</t>
  </si>
  <si>
    <t>RUC7I05</t>
  </si>
  <si>
    <t>C4 CACTUS FEEL 1.6 16V FLEX AUT.</t>
  </si>
  <si>
    <t>https://sv8.supervisao.com/Laudo/ImprimirFixo?IdLaudo=B120BF1A-1BA8-41C3-930E-B099122F06B1</t>
  </si>
  <si>
    <t>RUJ7H17</t>
  </si>
  <si>
    <t>ROK7J21</t>
  </si>
  <si>
    <t>https://sv8.supervisao.com/Laudo/ImprimirFixo?IdLaudo=8F9E2B84-2072-43ED-BE25-A61B0A0B2ED4</t>
  </si>
  <si>
    <t>ROL2J94</t>
  </si>
  <si>
    <t>https://sv8.supervisao.com/Laudo/ImprimirFixo?IdLaudo=C5193A1E-3FAD-4BB7-B5F1-9AEEAA1A5545</t>
  </si>
  <si>
    <t>RUM0E01</t>
  </si>
  <si>
    <t>https://sv8.supervisao.com/Laudo/ImprimirFixo?IdLaudo=99CFBEA7-05DE-472C-971E-70E7204C5BD8</t>
  </si>
  <si>
    <t>EZA3F61</t>
  </si>
  <si>
    <t>PARTNER RAPID BUSIN. PACK 1.4 FLEX MEC.</t>
  </si>
  <si>
    <t>https://sv8.supervisao.com/Laudo/ImprimirFixo?IdLaudo=3AC522C8-6984-4F62-940F-0C9BDC4926FE</t>
  </si>
  <si>
    <t>EBD7A82</t>
  </si>
  <si>
    <t>ECU7I34</t>
  </si>
  <si>
    <t>https://sv8.supervisao.com/Laudo/ImprimirFixo?IdLaudo=ACB067DC-C41B-4D38-81C0-41C5E6E7EDB5</t>
  </si>
  <si>
    <t>EUI9I26</t>
  </si>
  <si>
    <t>https://sv8.supervisao.com/Laudo/ImprimirFixo?IdLaudo=8960CD3D-0130-4B59-B80A-97A6E68D578A</t>
  </si>
  <si>
    <t>RUW5E52</t>
  </si>
  <si>
    <t>RUZ1I57</t>
  </si>
  <si>
    <t>https://sv8.supervisao.com/Laudo/ImprimirFixo?IdLaudo=1E89B703-F03E-4FB6-8335-FC3448232AB4</t>
  </si>
  <si>
    <t>RUY5B16</t>
  </si>
  <si>
    <t>ARGO DRIVE 1.0 6V FLEX</t>
  </si>
  <si>
    <t>RUW5D87</t>
  </si>
  <si>
    <t>https://sv8.supervisao.com/Laudo/ImprimirFixo?IdLaudo=522B3B37-066E-470D-A67B-01ABE8842F23</t>
  </si>
  <si>
    <t>RUW5E65</t>
  </si>
  <si>
    <t>https://sv8.supervisao.com/Laudo/ImprimirFixo?IdLaudo=FAD4F80C-74A5-47FE-ADB5-F920C87AD9BF</t>
  </si>
  <si>
    <t>RUW5D97</t>
  </si>
  <si>
    <t>https://sv8.supervisao.com/Laudo/ImprimirFixo?IdLaudo=9226707E-5A74-40DC-81CD-8B2FD4AA4718</t>
  </si>
  <si>
    <t>RUW5D98</t>
  </si>
  <si>
    <t>https://sv8.supervisao.com/Laudo/ImprimirFixo?IdLaudo=6819444D-EC80-4B29-B5A0-58280FC2FCF5</t>
  </si>
  <si>
    <t>RUW5D93</t>
  </si>
  <si>
    <t>https://sv8.supervisao.com/Laudo/ImprimirFixo?IdLaudo=D756EF17-F915-4C44-9398-BEB00B5F4547</t>
  </si>
  <si>
    <t>RUW5D77</t>
  </si>
  <si>
    <t>https://sv8.supervisao.com/Laudo/ImprimirFixo?IdLaudo=F244009A-BFB2-41A2-90F8-431936C0983F</t>
  </si>
  <si>
    <t>RUW5E25</t>
  </si>
  <si>
    <t>https://sv8.supervisao.com/Laudo/ImprimirFixo?IdLaudo=87FD4C0B-6A58-4371-8F74-36ED18D0FC5A</t>
  </si>
  <si>
    <t>EYB1H25</t>
  </si>
  <si>
    <t>GOL 1.0 FLEX 12V 5P</t>
  </si>
  <si>
    <t>RUW5E06</t>
  </si>
  <si>
    <t>https://sv8.supervisao.com/Laudo/ImprimirFixo?IdLaudo=6B4FC8F3-F53C-4E0E-8E4E-830F2C4948DB</t>
  </si>
  <si>
    <t>RVG0F89</t>
  </si>
  <si>
    <t>RVG5F27</t>
  </si>
  <si>
    <t>https://sv8.supervisao.com/Laudo/ImprimirFixo?IdLaudo=4F64EED6-8038-4D91-B548-B4FBAF4E5005</t>
  </si>
  <si>
    <t>RVG0F91</t>
  </si>
  <si>
    <t>https://sv8.supervisao.com/Laudo/ImprimirFixo?IdLaudo=53F7B1FE-2317-49AB-92AD-894DB79DB1D0</t>
  </si>
  <si>
    <t>RVG5F15</t>
  </si>
  <si>
    <t>https://sv8.supervisao.com/Laudo/ImprimirFixo?IdLaudo=88A162ED-2AB4-4346-B480-326C083C2481</t>
  </si>
  <si>
    <t>RVG0G12</t>
  </si>
  <si>
    <t>https://sv8.supervisao.com/Laudo/ImprimirFixo?IdLaudo=C92ADAD6-B217-472C-8417-3B88CC67F1CC</t>
  </si>
  <si>
    <t>RVG5F26</t>
  </si>
  <si>
    <t>RVG5F24</t>
  </si>
  <si>
    <t>https://sv8.supervisao.com/Laudo/ImprimirFixo?IdLaudo=0EB90214-ECFF-4B52-95DC-678E9A152517</t>
  </si>
  <si>
    <t>RVG5F28</t>
  </si>
  <si>
    <t>https://sv8.supervisao.com/Laudo/ImprimirFixo?IdLaudo=9FC5A9C8-DCCA-42CE-B626-8A39FB3F16C8</t>
  </si>
  <si>
    <t>RVG5F35</t>
  </si>
  <si>
    <t>https://sv8.supervisao.com/Laudo/ImprimirFixo?IdLaudo=CB56CFE3-FFF4-43F1-836F-C95A84A6B263</t>
  </si>
  <si>
    <t>RVB8F79</t>
  </si>
  <si>
    <t>https://sv8.supervisao.com/Laudo/ImprimirFixo?IdLaudo=850D7AAD-354C-44DB-836B-1CB0AB83E073</t>
  </si>
  <si>
    <t>RVG0G15</t>
  </si>
  <si>
    <t>https://sv8.supervisao.com/Laudo/ImprimirFixo?IdLaudo=10FF8355-DC5C-4501-A94C-98D9F2629A05</t>
  </si>
  <si>
    <t>RVG0G13</t>
  </si>
  <si>
    <t>https://sv8.supervisao.com/Laudo/ImprimirFixo?IdLaudo=CBD8CC31-0C95-42AC-88C8-3D40650D52DE</t>
  </si>
  <si>
    <t>RVG0G11</t>
  </si>
  <si>
    <t>https://sv8.supervisao.com/Laudo/ImprimirFixo?IdLaudo=92AA98F3-AF26-402F-A7F8-4F5E4EA12BA4</t>
  </si>
  <si>
    <t>ECM2J12</t>
  </si>
  <si>
    <t>https://sv8.supervisao.com/Laudo/ImprimirFixo?IdLaudo=D387BF4A-D045-46BA-9A28-01DE6CCE33C0</t>
  </si>
  <si>
    <t>RVH5G13</t>
  </si>
  <si>
    <t>RVG5F63</t>
  </si>
  <si>
    <t>https://sv8.supervisao.com/Laudo/ImprimirFixo?IdLaudo=3BB728B4-D0AF-469B-B166-C880F0651E50</t>
  </si>
  <si>
    <t>RVH3F64</t>
  </si>
  <si>
    <t>https://sv8.supervisao.com/Laudo/ImprimirFixo?IdLaudo=7A1DE5E1-8796-4256-8192-C7A6DE850021</t>
  </si>
  <si>
    <t>RVG5F61</t>
  </si>
  <si>
    <t>https://sv8.supervisao.com/Laudo/ImprimirFixo?IdLaudo=B6A94995-C8CB-4871-B713-FB5D3B25CBFB</t>
  </si>
  <si>
    <t>RVH5G84</t>
  </si>
  <si>
    <t>https://sv8.supervisao.com/Laudo/ImprimirFixo?IdLaudo=8CEE5DA3-D398-4F29-AA79-13FC3F6647D0</t>
  </si>
  <si>
    <t>RVH5G46</t>
  </si>
  <si>
    <t>https://sv8.supervisao.com/Laudo/ImprimirFixo?IdLaudo=E30A058C-3E72-4476-8F0B-5AF2A64407C9</t>
  </si>
  <si>
    <t>RVH5G20</t>
  </si>
  <si>
    <t>https://sv8.supervisao.com/Laudo/ImprimirFixo?IdLaudo=F4573B8C-B077-4555-AF9A-7076170E2D1F</t>
  </si>
  <si>
    <t>RVH5G71</t>
  </si>
  <si>
    <t>RVG5F38</t>
  </si>
  <si>
    <t>https://sv8.supervisao.com/Laudo/ImprimirFixo?IdLaudo=1746200C-E213-42B5-B533-AC818446BB6F</t>
  </si>
  <si>
    <t>RVH4C94</t>
  </si>
  <si>
    <t>https://sv8.supervisao.com/Laudo/ImprimirFixo?IdLaudo=A832A787-F381-492A-AE15-91F007315526</t>
  </si>
  <si>
    <t>RVH5G43</t>
  </si>
  <si>
    <t>https://sv8.supervisao.com/Laudo/ImprimirFixo?IdLaudo=40A47752-C3A8-4419-9D53-7845F060B013</t>
  </si>
  <si>
    <t>RVH3F75</t>
  </si>
  <si>
    <t>https://sv8.supervisao.com/Laudo/ImprimirFixo?IdLaudo=9554ECE8-1119-4246-833C-C1B760552EC2</t>
  </si>
  <si>
    <t>RVH3F65</t>
  </si>
  <si>
    <t>https://sv8.supervisao.com/Laudo/ImprimirFixo?IdLaudo=F45A75C6-C3F3-445F-B0AE-1F23040B0555</t>
  </si>
  <si>
    <t>RVH5G21</t>
  </si>
  <si>
    <t>https://sv8.supervisao.com/Laudo/ImprimirFixo?IdLaudo=14F59687-7341-4031-BB16-5C1DDF15F82F</t>
  </si>
  <si>
    <t>RVH5G79</t>
  </si>
  <si>
    <t>https://sv8.supervisao.com/Laudo/ImprimirFixo?IdLaudo=0ACB5528-AF64-445B-A2B6-8381312FF70F</t>
  </si>
  <si>
    <t>RVH4C76</t>
  </si>
  <si>
    <t>https://sv8.supervisao.com/Laudo/ImprimirFixo?IdLaudo=E82D5ECC-636B-4596-8B1E-19F9FBEDB9FC</t>
  </si>
  <si>
    <t>RVH3F61</t>
  </si>
  <si>
    <t>https://sv8.supervisao.com/Laudo/ImprimirFixo?IdLaudo=10142254-8365-411D-9A6E-FC9BE1AC6950</t>
  </si>
  <si>
    <t>RVH5G63</t>
  </si>
  <si>
    <t>https://sv8.supervisao.com/Laudo/ImprimirFixo?IdLaudo=F637EBEB-DD26-4A3B-B9F0-BBF7C743D276</t>
  </si>
  <si>
    <t>RVG5F48</t>
  </si>
  <si>
    <t>RVG5F49</t>
  </si>
  <si>
    <t>RVI8E11</t>
  </si>
  <si>
    <t>RVH5G77</t>
  </si>
  <si>
    <t>https://sv8.supervisao.com/Laudo/ImprimirFixo?IdLaudo=3F391D5D-F7BD-48F5-A3F7-53C9A2123EA4</t>
  </si>
  <si>
    <t>RVH5G07</t>
  </si>
  <si>
    <t>https://sv8.supervisao.com/Laudo/ImprimirFixo?IdLaudo=1E77484B-D760-44DE-B7AF-8FCC3356B31F</t>
  </si>
  <si>
    <t>RVH5G40</t>
  </si>
  <si>
    <t>https://sv8.supervisao.com/Laudo/ImprimirFixo?IdLaudo=8D1FCC0F-E51D-4D55-8A89-A1907918B507</t>
  </si>
  <si>
    <t>RVH5G14</t>
  </si>
  <si>
    <t>https://sv8.supervisao.com/Laudo/ImprimirFixo?IdLaudo=B8080906-D334-4960-AC10-6FF626479009</t>
  </si>
  <si>
    <t>RVH3F77</t>
  </si>
  <si>
    <t>https://sv8.supervisao.com/Laudo/ImprimirFixo?IdLaudo=10D84F1C-6BE1-4BD1-A8E5-A55896EC4751</t>
  </si>
  <si>
    <t>RVH5G76</t>
  </si>
  <si>
    <t>https://sv8.supervisao.com/Laudo/ImprimirFixo?IdLaudo=C1A415A1-93A1-4F9E-B0B2-EEC1B678F63D</t>
  </si>
  <si>
    <t>RVG5F51</t>
  </si>
  <si>
    <t>RVH3F67</t>
  </si>
  <si>
    <t>https://sv8.supervisao.com/Laudo/ImprimirFixo?IdLaudo=E8C3D97E-4A6D-4B97-8E5F-1588AD037333</t>
  </si>
  <si>
    <t>RVO0I19</t>
  </si>
  <si>
    <t>https://sv8.supervisao.com/Laudo/ImprimirFixo?IdLaudo=F2245075-F941-42AD-AFC8-486ECAAACF53</t>
  </si>
  <si>
    <t>EBQ4H23</t>
  </si>
  <si>
    <t>https://sv8.supervisao.com/Laudo/ImprimirFixo?IdLaudo=9F547588-377C-4A07-8DFC-8C1D2B476D3F</t>
  </si>
  <si>
    <t>EJL8I72</t>
  </si>
  <si>
    <t>https://sv8.supervisao.com/Laudo/ImprimirFixo?IdLaudo=E7A9057C-DC8F-4357-A07A-AAD92B913B69</t>
  </si>
  <si>
    <t>RVS5B35</t>
  </si>
  <si>
    <t>https://sv8.supervisao.com/Laudo/ImprimirFixo?IdLaudo=59BCED2F-FDE8-4DFB-AEFA-29123D67E8B9</t>
  </si>
  <si>
    <t>RVX6E82</t>
  </si>
  <si>
    <t>https://sv8.supervisao.com/Laudo/ImprimirFixo?IdLaudo=09AA7BF9-0F0D-4E54-827A-FE38886B0380</t>
  </si>
  <si>
    <t>FNI0G11</t>
  </si>
  <si>
    <t>VOYAGE 1.0 FLEX 12V 4P</t>
  </si>
  <si>
    <t>2023/2023</t>
  </si>
  <si>
    <t>https://sv8.supervisao.com/Laudo/ImprimirFixo?IdLaudo=96BE8B37-6C91-42C1-B898-5A1157047B81</t>
  </si>
  <si>
    <t>SHE9E99</t>
  </si>
  <si>
    <t>SHH2I48</t>
  </si>
  <si>
    <t>ARGO 1.0 6V FLEX</t>
  </si>
  <si>
    <t>SHG7H21</t>
  </si>
  <si>
    <t>SHG8E14</t>
  </si>
  <si>
    <t>SHE9B76</t>
  </si>
  <si>
    <t>SHG3F71</t>
  </si>
  <si>
    <t>https://sv8.supervisao.com/Laudo/ImprimirFixo?IdLaudo=C5C90479-AC14-4D02-881A-FFCD30DECC55</t>
  </si>
  <si>
    <t>SHG7H87</t>
  </si>
  <si>
    <t>https://sv8.supervisao.com/Laudo/ImprimirFixo?IdLaudo=9D6CAB52-5607-477D-AF96-35ACE178A72B</t>
  </si>
  <si>
    <t>SHG7I36</t>
  </si>
  <si>
    <t>https://sv8.supervisao.com/Laudo/ImprimirFixo?IdLaudo=D3CB2558-E161-43A1-BC61-4CB57052DCC8</t>
  </si>
  <si>
    <t>EYP9G24</t>
  </si>
  <si>
    <t>https://sv8.supervisao.com/Laudo/ImprimirFixo?IdLaudo=D886B119-302C-4E4F-A28E-B3DFD9072775</t>
  </si>
  <si>
    <t>EOC4A84</t>
  </si>
  <si>
    <t>https://sv8.supervisao.com/Laudo/ImprimirFixo?IdLaudo=189A1AAB-500D-41C9-80AA-7CCCF6C04B93</t>
  </si>
  <si>
    <t>ELI7J55</t>
  </si>
  <si>
    <t>https://sv8.supervisao.com/Laudo/ImprimirFixo?IdLaudo=B2C7CFD6-93F3-48BC-8949-685B4553CE4B</t>
  </si>
  <si>
    <t>EVT1C82</t>
  </si>
  <si>
    <t>https://sv8.supervisao.com/Laudo/ImprimirFixo?IdLaudo=DE0BB912-8519-454D-85C4-9E5B7B928001</t>
  </si>
  <si>
    <t>FOV2J94</t>
  </si>
  <si>
    <t>https://sv8.supervisao.com/Laudo/ImprimirFixo?IdLaudo=293B10F8-A9FF-47D0-82F4-D779C54818C5</t>
  </si>
  <si>
    <t>EXB6G81</t>
  </si>
  <si>
    <t>FRZ4C72</t>
  </si>
  <si>
    <t>https://sv8.supervisao.com/Laudo/ImprimirFixo?IdLaudo=B13CDA23-D510-4487-92F6-ADB7D018DB26</t>
  </si>
  <si>
    <t>FOD6G33</t>
  </si>
  <si>
    <t>EMY8G35</t>
  </si>
  <si>
    <t>https://sv8.supervisao.com/Laudo/ImprimirFixo?IdLaudo=E3777B12-2DB1-4FB9-87CC-DB39DD7E4732</t>
  </si>
  <si>
    <t>SHI4J74</t>
  </si>
  <si>
    <t>https://sv8.supervisao.com/Laudo/ImprimirFixo?IdLaudo=C9EBB190-9380-40A2-810E-1211E55BC904</t>
  </si>
  <si>
    <t>SHH3F53</t>
  </si>
  <si>
    <t>https://sv8.supervisao.com/Laudo/ImprimirFixo?IdLaudo=7FF3EE3F-C8EE-4104-82AB-8048331725F3</t>
  </si>
  <si>
    <t>SHH3F06</t>
  </si>
  <si>
    <t>https://sv8.supervisao.com/Laudo/ImprimirFixo?IdLaudo=7230A2D2-6DD8-4D35-A064-925CCCDC5400</t>
  </si>
  <si>
    <t>SHH1B88</t>
  </si>
  <si>
    <t>https://sv8.supervisao.com/Laudo/ImprimirFixo?IdLaudo=7BE38CBB-7094-4F17-A534-8ACCE1B8DFAA</t>
  </si>
  <si>
    <t>SHJ9G03</t>
  </si>
  <si>
    <t>https://sv8.supervisao.com/Laudo/ImprimirFixo?IdLaudo=41450632-A193-4E6F-94AA-3A5DC07F3706</t>
  </si>
  <si>
    <t>SHQ3I27</t>
  </si>
  <si>
    <t>JUMPY CARGO 1.5 TURBO DIESEL</t>
  </si>
  <si>
    <t>https://sv8.supervisao.com/Laudo/ImprimirFixo?IdLaudo=B6AA5D28-D2CB-429A-BEBF-D54642726053</t>
  </si>
  <si>
    <t>EKC9C66</t>
  </si>
  <si>
    <t>OROCH PRO 1.6 FLEX 16V MEC.</t>
  </si>
  <si>
    <t>SHQ9J91</t>
  </si>
  <si>
    <t>https://sv8.supervisao.com/Laudo/ImprimirFixo?IdLaudo=E7411855-6D71-4B10-9D5C-43AA55B01C47</t>
  </si>
  <si>
    <t>SHS5J18</t>
  </si>
  <si>
    <t>https://sv8.supervisao.com/Laudo/ImprimirFixo?IdLaudo=BFBD51EA-77EA-4A83-9774-8E98ACB62410</t>
  </si>
  <si>
    <t>SID2F31</t>
  </si>
  <si>
    <t>https://sv8.supervisao.com/Laudo/ImprimirFixo?IdLaudo=6B374754-7222-4F91-84A5-71854A47BA64</t>
  </si>
  <si>
    <t>SIG0F28</t>
  </si>
  <si>
    <t>RENEGADE LONG. T270 1.3 TB 4X2 FLEX AUT.</t>
  </si>
  <si>
    <t>https://sv8.supervisao.com/Laudo/ImprimirFixo?IdLaudo=98EECF05-4B3F-4A65-8FF6-2FED8182D948</t>
  </si>
  <si>
    <t>SIB7A27</t>
  </si>
  <si>
    <t>ONIX SEDAN PLUS LTZ 1.0 12V TB FLEX AUT.</t>
  </si>
  <si>
    <t>https://sv8.supervisao.com/Laudo/ImprimirFixo?IdLaudo=5D8CAE63-E804-4762-A1FE-15B02856C62E</t>
  </si>
  <si>
    <t>FJR5C43</t>
  </si>
  <si>
    <t>POLO 1.0 MPI FLEX 12V 5P</t>
  </si>
  <si>
    <t>FCE7D93</t>
  </si>
  <si>
    <t xml:space="preserve">SAVEIRO ROBUST 1.6 TOTAL FLEX 16V </t>
  </si>
  <si>
    <t>https://sv8.supervisao.com/Laudo/ImprimirFixo?IdLaudo=030B3821-68EA-4320-8220-56E652C7CD27</t>
  </si>
  <si>
    <t>EGJ7E41</t>
  </si>
  <si>
    <t>https://sv8.supervisao.com/Laudo/ImprimirFixo?IdLaudo=388A0CE6-15E8-4646-9306-289087271A11</t>
  </si>
  <si>
    <t>EJH7G22</t>
  </si>
  <si>
    <t>LOGAN LIFE FLEX 1.0 12V 4P MEC.</t>
  </si>
  <si>
    <t>FCD3H12</t>
  </si>
  <si>
    <t>SIG0F70</t>
  </si>
  <si>
    <t>SIG0G20</t>
  </si>
  <si>
    <t>https://sv8.supervisao.com/Laudo/ImprimirFixo?IdLaudo=68A44B28-034A-4AC4-B761-E8954375FBBC</t>
  </si>
  <si>
    <t>FOG6I52</t>
  </si>
  <si>
    <t>https://sv8.supervisao.com/Laudo/ImprimirFixo?IdLaudo=D1747B42-4FC2-4CB0-A71A-75FC543E4BD9</t>
  </si>
  <si>
    <t>EFQ6D82</t>
  </si>
  <si>
    <t>ERW2F82</t>
  </si>
  <si>
    <t>FOQ6E73</t>
  </si>
  <si>
    <t>SPIN PREMIER 1.8 8V ECONO.FLEX 5P AUT.</t>
  </si>
  <si>
    <t>SII7J31</t>
  </si>
  <si>
    <t>SIH9C16</t>
  </si>
  <si>
    <t>SIM1A40</t>
  </si>
  <si>
    <t>https://sv8.supervisao.com/Laudo/ImprimirFixo?IdLaudo=F299F061-A373-4D9D-A480-B1A769A0344E</t>
  </si>
  <si>
    <t>SIM1G49</t>
  </si>
  <si>
    <t>FFK6E43</t>
  </si>
  <si>
    <t>https://sv8.supervisao.com/Laudo/ImprimirFixo?IdLaudo=0A54EAE0-6BAA-478B-89B9-F709B2B8CD4A</t>
  </si>
  <si>
    <t>FEJ9D24</t>
  </si>
  <si>
    <t>FDB2G72</t>
  </si>
  <si>
    <t>FFK3D24</t>
  </si>
  <si>
    <t>FRY0G03</t>
  </si>
  <si>
    <t>https://sv8.supervisao.com/Laudo/ImprimirFixo?IdLaudo=B21827EF-A9BA-42BB-9899-FBC54FE57005</t>
  </si>
  <si>
    <t>FJR4E63</t>
  </si>
  <si>
    <t>EAD9H92</t>
  </si>
  <si>
    <t>KICKS ACTIVE 1.6 16V FLEX AUT.</t>
  </si>
  <si>
    <t>https://sv8.supervisao.com/Laudo/ImprimirFixo?IdLaudo=061CB02E-FB6A-4F28-AFAC-D24B5012E96B</t>
  </si>
  <si>
    <t>SIY2E58</t>
  </si>
  <si>
    <t>EKU0F41</t>
  </si>
  <si>
    <t>SAVEIRO ROBUST 1.6 TOTAL FLEX 16V (FECHADA)</t>
  </si>
  <si>
    <t>ESW5D11</t>
  </si>
  <si>
    <t>https://sv8.supervisao.com/Laudo/ImprimirFixo?IdLaudo=23DA2F7F-2676-480E-A684-A8E17C8B7FCA</t>
  </si>
  <si>
    <t>SIX4J78</t>
  </si>
  <si>
    <t>FNS4B12</t>
  </si>
  <si>
    <t>https://sv8.supervisao.com/Laudo/ImprimirFixo?IdLaudo=C9C5C3B0-E7F0-451C-918F-D98DD32A8C7A</t>
  </si>
  <si>
    <t>SIS0E71</t>
  </si>
  <si>
    <t>SIU2C40</t>
  </si>
  <si>
    <t>https://sv8.supervisao.com/Laudo/ImprimirFixo?IdLaudo=2AEE51B9-7D27-4BB8-A3C6-97E7F40AA68E</t>
  </si>
  <si>
    <t>SIW9D66</t>
  </si>
  <si>
    <t>https://sv8.supervisao.com/Laudo/ImprimirFixo?IdLaudo=6C0C2226-FC32-4B24-8AE1-4DD1BCCC6A28</t>
  </si>
  <si>
    <t>FTU4F71</t>
  </si>
  <si>
    <t>FRONTIER S CD 4X4 2.3 TB DIESEL MEC.</t>
  </si>
  <si>
    <t>https://sv8.supervisao.com/Laudo/ImprimirFixo?IdLaudo=C3575356-D5D3-45F3-86AE-57659ED1AFD9</t>
  </si>
  <si>
    <t>SJB7F61</t>
  </si>
  <si>
    <t>https://sv8.supervisao.com/Laudo/ImprimirFixo?IdLaudo=086E13C2-32C7-48F5-BD82-7B8B33242C4E</t>
  </si>
  <si>
    <t>SSU8G25</t>
  </si>
  <si>
    <t>KICKS SENSE 1.6 16V FLEX AUT.</t>
  </si>
  <si>
    <t>https://sv8.supervisao.com/Laudo/ImprimirFixo?IdLaudo=C28C8FD3-140B-48D0-A1A1-C53CA5A97273</t>
  </si>
  <si>
    <t>SJC0E62</t>
  </si>
  <si>
    <t>PULSE DRIVE 1.3 8V FLEX AUT.</t>
  </si>
  <si>
    <t>SJB3A35</t>
  </si>
  <si>
    <t>STRADA ENDURANCE 1.3 FLEX 8V CS PLUS</t>
  </si>
  <si>
    <t>https://sv8.supervisao.com/Laudo/ImprimirFixo?IdLaudo=628ABFFA-811F-494F-8AAA-FE5C95356933</t>
  </si>
  <si>
    <t>SSS6B03</t>
  </si>
  <si>
    <t>https://sv8.supervisao.com/Laudo/ImprimirFixo?IdLaudo=FCCEB5C6-B50F-49D9-A38D-90814CED9ED2</t>
  </si>
  <si>
    <t>SJB3A20</t>
  </si>
  <si>
    <t>https://sv8.supervisao.com/Laudo/ImprimirFixo?IdLaudo=30C6FA80-7387-4583-9ED6-C347D48D5FB2</t>
  </si>
  <si>
    <t>STO1D83</t>
  </si>
  <si>
    <t>FJC1B43</t>
  </si>
  <si>
    <t>GJF6B41</t>
  </si>
  <si>
    <t>https://sv8.supervisao.com/Laudo/ImprimirFixo?IdLaudo=B68B20C7-D2EE-4F5A-81C6-A5960F7FD33D</t>
  </si>
  <si>
    <t>SUK1D94</t>
  </si>
  <si>
    <t>FRONTIER XE CD 4X4 2.3 BI-TB DIESEL AUT.</t>
  </si>
  <si>
    <t>SSY2A93</t>
  </si>
  <si>
    <t>CRETA COMFORT PLUS 1.0 TB 12V FLEX AUT.</t>
  </si>
  <si>
    <t>https://sv8.supervisao.com/Laudo/ImprimirFixo?IdLaudo=09B0B717-7AB8-4FAA-ADD3-16E64594DEFC</t>
  </si>
  <si>
    <t>SYE1G73</t>
  </si>
  <si>
    <t>STRADA FREEDOM 1.3 FLEX 8V CD</t>
  </si>
  <si>
    <t>https://sv8.supervisao.com/Laudo/ImprimirFixo?IdLaudo=21F6BD12-DA34-4CB4-BF54-1AB0C5F6D601</t>
  </si>
  <si>
    <t>SYE0J43</t>
  </si>
  <si>
    <t>https://sv8.supervisao.com/Laudo/ImprimirFixo?IdLaudo=3898C920-FF0A-4B33-A1BD-7A1E707B923D</t>
  </si>
  <si>
    <t>SYE1E65</t>
  </si>
  <si>
    <t>SYE0I21</t>
  </si>
  <si>
    <t>EQD7F24</t>
  </si>
  <si>
    <t>SSS4D01</t>
  </si>
  <si>
    <t>https://sv8.supervisao.com/Laudo/ImprimirFixo?IdLaudo=42DA6564-53E9-49C7-B6AF-41AAA8A781B5</t>
  </si>
  <si>
    <t>SYG0A05</t>
  </si>
  <si>
    <t>SSY0J50</t>
  </si>
  <si>
    <t>https://sv8.supervisao.com/Laudo/ImprimirFixo?IdLaudo=CBCA4DB5-B668-4663-9133-8E337BC7863C</t>
  </si>
  <si>
    <t>GFJ2B63</t>
  </si>
  <si>
    <t>SSV7F36</t>
  </si>
  <si>
    <t>GJW9E04</t>
  </si>
  <si>
    <t>https://sv8.supervisao.com/Laudo/ImprimirFixo?IdLaudo=726B02AD-AF9F-43CF-B13F-2204D3F459AD</t>
  </si>
  <si>
    <t>STF9G31</t>
  </si>
  <si>
    <t>SSY5C83</t>
  </si>
  <si>
    <t>SSV2F98</t>
  </si>
  <si>
    <t>FPZ8I44</t>
  </si>
  <si>
    <t>https://sv8.supervisao.com/Laudo/ImprimirFixo?IdLaudo=B033CE1E-8287-4DBF-BB30-A86FA9DCE785</t>
  </si>
  <si>
    <t>SSS8I17</t>
  </si>
  <si>
    <t>STR4D07</t>
  </si>
  <si>
    <t>SSR1C68</t>
  </si>
  <si>
    <t>SSZ6E66</t>
  </si>
  <si>
    <t>SSV8I52</t>
  </si>
  <si>
    <t>FQI7A03</t>
  </si>
  <si>
    <t>GFH2H92</t>
  </si>
  <si>
    <t>SSV3H64</t>
  </si>
  <si>
    <t>SSU0H21</t>
  </si>
  <si>
    <t>GIG0J12</t>
  </si>
  <si>
    <t>https://sv8.supervisao.com/Laudo/ImprimirFixo?IdLaudo=7A572D7C-7C55-4181-B689-CAAD7E8E7D9B</t>
  </si>
  <si>
    <t>GHJ0G11</t>
  </si>
  <si>
    <t>ONIX HATCH 1.0 12V FLEX 5P MEC.</t>
  </si>
  <si>
    <t>FVR0B62</t>
  </si>
  <si>
    <t>SST3B31</t>
  </si>
  <si>
    <t>EUL5J63</t>
  </si>
  <si>
    <t>SSX8G72</t>
  </si>
  <si>
    <t>SSW7D97</t>
  </si>
  <si>
    <t>FCT9E63</t>
  </si>
  <si>
    <t>SSU9F47</t>
  </si>
  <si>
    <t>STD3J16</t>
  </si>
  <si>
    <t>https://sv8.supervisao.com/Laudo/ImprimirFixo?IdLaudo=34E6009F-B34D-475C-9557-0169BC64EFB8</t>
  </si>
  <si>
    <t>SSR9F42</t>
  </si>
  <si>
    <t>FPR9F33</t>
  </si>
  <si>
    <t>SSS7B54</t>
  </si>
  <si>
    <t>FYT3I63</t>
  </si>
  <si>
    <t>SYC9F31</t>
  </si>
  <si>
    <t>C3 LIVE PACK 1.0 FLEX 6V 5P MEC.</t>
  </si>
  <si>
    <t>GJH6A13</t>
  </si>
  <si>
    <t>GEV1B43</t>
  </si>
  <si>
    <t>https://sv8.supervisao.com/Laudo/ImprimirFixo?IdLaudo=3CA2E4D5-0625-466F-895A-EF5F7D652771</t>
  </si>
  <si>
    <t>EFS5J31</t>
  </si>
  <si>
    <t>GGV8E12</t>
  </si>
  <si>
    <t>STD0C76</t>
  </si>
  <si>
    <t>https://sv8.supervisao.com/Laudo/ImprimirFixo?IdLaudo=808870BD-0286-44C2-9BE4-27242E455822</t>
  </si>
  <si>
    <t>GJS4F22</t>
  </si>
  <si>
    <t>GFM9I73</t>
  </si>
  <si>
    <t>SJG0J79</t>
  </si>
  <si>
    <t>SSV0D19</t>
  </si>
  <si>
    <t>SSU8B77</t>
  </si>
  <si>
    <t>FXJ8G73</t>
  </si>
  <si>
    <t>SJG1B64</t>
  </si>
  <si>
    <t>STL1D76</t>
  </si>
  <si>
    <t>https://sv8.supervisao.com/Laudo/ImprimirFixo?IdLaudo=FF4DC9BF-EE68-4359-BCA6-BFD41A779D78</t>
  </si>
  <si>
    <t>SST3B09</t>
  </si>
  <si>
    <t>SSV7B20</t>
  </si>
  <si>
    <t>SSR7B27</t>
  </si>
  <si>
    <t>https://sv8.supervisao.com/Laudo/ImprimirFixo?IdLaudo=86ED229C-1CD6-4810-9FE3-325C7DF677F7</t>
  </si>
  <si>
    <t>EXU8H82</t>
  </si>
  <si>
    <t>https://sv8.supervisao.com/Laudo/ImprimirFixo?IdLaudo=C45808BD-D4C4-4627-9F5A-664F171156EE</t>
  </si>
  <si>
    <t>GCV5I43</t>
  </si>
  <si>
    <t>https://sv8.supervisao.com/Laudo/ImprimirFixo?IdLaudo=9D370A43-07D7-4878-8FF8-EE3174F18C3B</t>
  </si>
  <si>
    <t>SSR5A30</t>
  </si>
  <si>
    <t>FLG8F43</t>
  </si>
  <si>
    <t>FJX9F63</t>
  </si>
  <si>
    <t>https://sv8.supervisao.com/Laudo/ImprimirFixo?IdLaudo=7EE25EAE-F991-42A1-8502-42F7CD43D726</t>
  </si>
  <si>
    <t>FYM2G61</t>
  </si>
  <si>
    <t>https://sv8.supervisao.com/Laudo/ImprimirFixo?IdLaudo=089613DD-ED28-4E50-9C1B-F6406070E918</t>
  </si>
  <si>
    <t>SYF3J35</t>
  </si>
  <si>
    <t>SVB0H01</t>
  </si>
  <si>
    <t>https://sv8.supervisao.com/Laudo/ImprimirFixo?IdLaudo=2623D328-9851-4ADE-8E2D-BF1270EB7889</t>
  </si>
  <si>
    <t>SVA2G70</t>
  </si>
  <si>
    <t>SYH7F51</t>
  </si>
  <si>
    <t>https://sv8.supervisao.com/Laudo/ImprimirFixo?IdLaudo=98D8403A-F708-4659-9BCA-83B3A4E8FBB1</t>
  </si>
  <si>
    <t>SUH8J80</t>
  </si>
  <si>
    <t>VIRTUS TSI 1.0 FLEX 12V 4P AUT.</t>
  </si>
  <si>
    <t>SSY6D60</t>
  </si>
  <si>
    <t>SAVEIRO ROBUST 1.6 TOTAL FLEX 16V CD</t>
  </si>
  <si>
    <t>SVS7G20</t>
  </si>
  <si>
    <t>https://sv8.supervisao.com/Laudo/ImprimirFixo?IdLaudo=05BF4D4B-0E36-459D-BABA-82CDEEBEE0AE</t>
  </si>
  <si>
    <t>STJ2I70</t>
  </si>
  <si>
    <t>https://sv8.supervisao.com/Laudo/ImprimirFixo?IdLaudo=CD380573-F168-41EB-86ED-9D18149FE675</t>
  </si>
  <si>
    <t>SWR0I41</t>
  </si>
  <si>
    <t>https://sv8.supervisao.com/Laudo/ImprimirFixo?IdLaudo=9835AF4D-BB48-46E9-AB4D-C0E09872693B</t>
  </si>
  <si>
    <t>SVQ6C10</t>
  </si>
  <si>
    <t>https://sv8.supervisao.com/Laudo/ImprimirFixo?IdLaudo=D1DC8087-5037-4D9E-AD6E-607AE5E2549C</t>
  </si>
  <si>
    <t>SUE6B40</t>
  </si>
  <si>
    <t>https://sv8.supervisao.com/Laudo/ImprimirFixo?IdLaudo=94E82052-3FD6-4919-A137-BA92E4CF5932</t>
  </si>
  <si>
    <t>SUD5F70</t>
  </si>
  <si>
    <t>https://sv8.supervisao.com/Laudo/ImprimirFixo?IdLaudo=244E7B8C-07C9-4BD1-BF4E-84A38C74F6A2</t>
  </si>
  <si>
    <t>SUT3J61</t>
  </si>
  <si>
    <t>SUZ2J31</t>
  </si>
  <si>
    <t>SSY3F20</t>
  </si>
  <si>
    <t>STU0J61</t>
  </si>
  <si>
    <t>SUI5C01</t>
  </si>
  <si>
    <t>SSV2B80</t>
  </si>
  <si>
    <t>https://sv8.supervisao.com/Laudo/ImprimirFixo?IdLaudo=560BF1C0-14B3-465D-B499-8B9144159BB0</t>
  </si>
  <si>
    <t>STJ5E53</t>
  </si>
  <si>
    <t>POLO COMFORTLINE TSI 1.0 FLEX 12V AUT. (VW PLAY)</t>
  </si>
  <si>
    <t>SYP2D10</t>
  </si>
  <si>
    <t>STM0H91</t>
  </si>
  <si>
    <t>SUM8J91</t>
  </si>
  <si>
    <t>https://sv8.supervisao.com/Laudo/ImprimirFixo?IdLaudo=1C3F942C-6480-42A4-974D-15CE0A9EEA6A</t>
  </si>
  <si>
    <t>STC0A71</t>
  </si>
  <si>
    <t>SWI6I80</t>
  </si>
  <si>
    <t>SYO1G77</t>
  </si>
  <si>
    <t>ETT9I22</t>
  </si>
  <si>
    <t>https://sv8.supervisao.com/Laudo/ImprimirFixo?IdLaudo=443CC1AB-AC01-4725-852A-B7BD078B9FFB</t>
  </si>
  <si>
    <t>STF2A70</t>
  </si>
  <si>
    <t>https://sv8.supervisao.com/Laudo/ImprimirFixo?IdLaudo=CAB82309-F3E7-4D93-B993-40A53F20F9CB</t>
  </si>
  <si>
    <t>SUS9B91</t>
  </si>
  <si>
    <t>https://sv8.supervisao.com/Laudo/ImprimirFixo?IdLaudo=689A9DE7-DC67-46FC-B576-7AA4025B261D</t>
  </si>
  <si>
    <t>SYO1I12</t>
  </si>
  <si>
    <t>https://sv8.supervisao.com/Laudo/ImprimirFixo?IdLaudo=B02799AD-FCD2-4E17-A4B8-0968ED37278E</t>
  </si>
  <si>
    <t>SSU7C41</t>
  </si>
  <si>
    <t>https://sv8.supervisao.com/Laudo/ImprimirFixo?IdLaudo=6D544A3F-1483-4313-BADD-67435D091DD9</t>
  </si>
  <si>
    <t>SYQ0A38</t>
  </si>
  <si>
    <t>SYO9F71</t>
  </si>
  <si>
    <t>SSV2E42</t>
  </si>
  <si>
    <t>HB20 SENSE PLUS 1.0 FLEX 12V MEC.</t>
  </si>
  <si>
    <t>https://sv8.supervisao.com/Laudo/ImprimirFixo?IdLaudo=4FE2246D-AD0C-4761-8C97-F1C00E066ECF</t>
  </si>
  <si>
    <t>STA9F20</t>
  </si>
  <si>
    <t>SYP1C25</t>
  </si>
  <si>
    <t>MOBI TREKKING 1.0 FLEX 5P.</t>
  </si>
  <si>
    <t>SUI4J20</t>
  </si>
  <si>
    <t>SUX6I51</t>
  </si>
  <si>
    <t>SUI2E71</t>
  </si>
  <si>
    <t>https://sv8.supervisao.com/Laudo/ImprimirFixo?IdLaudo=FAB47069-917B-48FD-A42D-847E267390BE</t>
  </si>
  <si>
    <t>SYQ0C06</t>
  </si>
  <si>
    <t>https://sv8.supervisao.com/Laudo/ImprimirFixo?IdLaudo=9A319B29-992D-40F4-835F-3C0D7F5F7C53</t>
  </si>
  <si>
    <t>FVA2F91</t>
  </si>
  <si>
    <t>https://sv8.supervisao.com/Laudo/ImprimirFixo?IdLaudo=8D4B5081-B604-4F1A-84E2-43729499041C</t>
  </si>
  <si>
    <t>STL8I60</t>
  </si>
  <si>
    <t>https://sv8.supervisao.com/Laudo/ImprimirFixo?IdLaudo=29B26FC2-EBAF-451C-AF47-9AD164DB040A</t>
  </si>
  <si>
    <t>STV7I52</t>
  </si>
  <si>
    <t>https://sv8.supervisao.com/Laudo/ImprimirFixo?IdLaudo=432C3976-2C52-458B-ADDE-E2E9CD03942A</t>
  </si>
  <si>
    <t>STH8F62</t>
  </si>
  <si>
    <t>https://sv8.supervisao.com/Laudo/ImprimirFixo?IdLaudo=8B1D1F41-E372-4AB5-98E5-659CDCAD987F</t>
  </si>
  <si>
    <t>SYU0I49</t>
  </si>
  <si>
    <t>SVH6I31</t>
  </si>
  <si>
    <t>HIV7D46</t>
  </si>
  <si>
    <t>https://sv8.supervisao.com/Laudo/ImprimirFixo?IdLaudo=B39C73C4-AD42-4DBA-9329-8B45520A7B4A</t>
  </si>
  <si>
    <t>GDN1I22</t>
  </si>
  <si>
    <t>https://sv8.supervisao.com/Laudo/ImprimirFixo?IdLaudo=1F6DB28B-8572-4E5A-83E4-F5F4EC71F94B</t>
  </si>
  <si>
    <t>HIV7C82</t>
  </si>
  <si>
    <t>https://sv8.supervisao.com/Laudo/ImprimirFixo?IdLaudo=14B3CF72-F8DA-48C2-9060-AA33FFF16C2A</t>
  </si>
  <si>
    <t>GAN8F42</t>
  </si>
  <si>
    <t>https://sv8.supervisao.com/Laudo/ImprimirFixo?IdLaudo=5A9A0294-A363-4C19-B450-F34BF1626AC9</t>
  </si>
  <si>
    <t>SYU9C69</t>
  </si>
  <si>
    <t>PVR3C61</t>
  </si>
  <si>
    <t>OPP0C50</t>
  </si>
  <si>
    <t>OPP9E84</t>
  </si>
  <si>
    <t>https://sv8.supervisao.com/Laudo/ImprimirFixo?IdLaudo=13F13A4B-BF48-4D91-B2C1-3F8CA33DDE8D</t>
  </si>
  <si>
    <t>STP3C51</t>
  </si>
  <si>
    <t>S10 PICK-UP WT 2.8 TDI 4X4 CD DIESEL AUT</t>
  </si>
  <si>
    <t>https://sv8.supervisao.com/Laudo/ImprimirFixo?IdLaudo=E389C4CC-FCF8-4E8D-8A6E-1B921C83ADB7</t>
  </si>
  <si>
    <t>SIT1G89</t>
  </si>
  <si>
    <t>C3 FEEL 1.0 FLEX 6V 5P MEC.</t>
  </si>
  <si>
    <t>https://sv8.supervisao.com/Laudo/ImprimirFixo?IdLaudo=EDBFC1DA-254B-4548-85D8-0675654AE27F</t>
  </si>
  <si>
    <t>RVK7B53</t>
  </si>
  <si>
    <t>RMQ4G42</t>
  </si>
  <si>
    <t>RNK1G42</t>
  </si>
  <si>
    <t>https://sv8.supervisao.com/Laudo/ImprimirFixo?IdLaudo=D24C5A7C-1D38-44CF-9A26-C170E2D2B30F</t>
  </si>
  <si>
    <t>RMS6H97</t>
  </si>
  <si>
    <t>SUS5A56</t>
  </si>
  <si>
    <t>SSU7C25</t>
  </si>
  <si>
    <t>FRJ2G32</t>
  </si>
  <si>
    <t>YARIS XL SEDAN 1.5 FLEX 16V 4P AUT.</t>
  </si>
  <si>
    <t>SYW6J26</t>
  </si>
  <si>
    <t>https://sv8.supervisao.com/Laudo/ImprimirFixo?IdLaudo=55C9F3B1-4C1A-4C0E-B626-1BEFFEAEBDF9</t>
  </si>
  <si>
    <t>SYW6J22</t>
  </si>
  <si>
    <t>https://sv8.supervisao.com/Laudo/ImprimirFixo?IdLaudo=39E2675E-05A8-4B76-B276-B55EDF59CA86</t>
  </si>
  <si>
    <t>FFG3I92</t>
  </si>
  <si>
    <t>https://sv8.supervisao.com/Laudo/ImprimirFixo?IdLaudo=19DDAEBD-4A8D-4ECD-9FFF-9BFF9720C916</t>
  </si>
  <si>
    <t>SYY0H09</t>
  </si>
  <si>
    <t>GFE1F52</t>
  </si>
  <si>
    <t>CRETA ACTION 1.6 16V FLEX AUT.</t>
  </si>
  <si>
    <t>https://sv8.supervisao.com/Laudo/ImprimirFixo?IdLaudo=9CC1216B-D919-41C8-BD83-705E539839D6</t>
  </si>
  <si>
    <t>STL3J16</t>
  </si>
  <si>
    <t>https://sv8.supervisao.com/Laudo/ImprimirFixo?IdLaudo=D067DC12-2786-4CB4-82EC-ED5C6071E2B3</t>
  </si>
  <si>
    <t>TCF3I27</t>
  </si>
  <si>
    <t>FIORINO ENDURANCE EVO 1.4 FLEX 8V 2P (GNV)</t>
  </si>
  <si>
    <t>TCB9A33</t>
  </si>
  <si>
    <t>https://sv8.supervisao.com/Laudo/ImprimirFixo?IdLaudo=69FAA324-50B4-4064-87D7-34850550B5CF</t>
  </si>
  <si>
    <t>STC0J34</t>
  </si>
  <si>
    <t>HB20S COMFORT PLUS 1.0 FLEX 12V MEC.</t>
  </si>
  <si>
    <t>SVG8B61</t>
  </si>
  <si>
    <t>https://sv8.supervisao.com/Laudo/ImprimirFixo?IdLaudo=C5184920-70EC-4F89-AC7B-FC427F37EA85</t>
  </si>
  <si>
    <t>TCM8J58</t>
  </si>
  <si>
    <t>https://sv8.supervisao.com/Laudo/ImprimirFixo?IdLaudo=3521A119-2F7C-4ABC-A1B4-649DCC0ED732</t>
  </si>
  <si>
    <t>TCR0E72</t>
  </si>
  <si>
    <t>TKL9D97</t>
  </si>
  <si>
    <t>YARIS XL 1.5 FLEX 16V 5P AUT.</t>
  </si>
  <si>
    <t>https://sv8.supervisao.com/Laudo/ImprimirFixo?IdLaudo=450C3AB2-BEAA-486A-9E94-924D86EF66C7</t>
  </si>
  <si>
    <t>TCP4H33</t>
  </si>
  <si>
    <t>CRONOS DRIVE 1.3 8V FLEX</t>
  </si>
  <si>
    <t>SSU8F13</t>
  </si>
  <si>
    <t>https://sv8.supervisao.com/Laudo/ImprimirFixo?IdLaudo=2587D141-8C53-4C8A-BB81-70327B33B495</t>
  </si>
  <si>
    <t>TJE1B53</t>
  </si>
  <si>
    <t>https://sv8.supervisao.com/Laudo/ImprimirFixo?IdLaudo=60437B7F-D064-4B7C-87AF-01AE5FAB96E5</t>
  </si>
  <si>
    <t>TIS8D62</t>
  </si>
  <si>
    <t>POLO TRACK 1.0 FLEX 12V 5P (VW PLAY)</t>
  </si>
  <si>
    <t>https://sv8.supervisao.com/Laudo/ImprimirFixo?IdLaudo=818DE9E3-1620-456C-86F9-7A69DBD0226B</t>
  </si>
  <si>
    <t>TKB1J97</t>
  </si>
  <si>
    <t>https://sv8.supervisao.com/Laudo/ImprimirFixo?IdLaudo=FBF55325-D18D-43F9-92B2-FC90ECE847CC</t>
  </si>
  <si>
    <t>TCP4D54</t>
  </si>
  <si>
    <t>https://sv8.supervisao.com/Laudo/ImprimirFixo?IdLaudo=99E08006-6523-4AA7-A4CC-9D0B8EF7D837</t>
  </si>
  <si>
    <t>TLE8C83</t>
  </si>
  <si>
    <t>SUD6A33</t>
  </si>
  <si>
    <t>COROLLA CROSS XRE 2.0 16V FLEX AUT.</t>
  </si>
  <si>
    <t>TJF5B88</t>
  </si>
  <si>
    <t>HB20S COM. PLUS TECH 1.0 TB FLEX 12V AUT</t>
  </si>
  <si>
    <t>https://sv8.supervisao.com/Laudo/ImprimirFixo?IdLaudo=E3EBEA55-FE78-4585-B0FF-CC91FD6C243B</t>
  </si>
  <si>
    <t>TDA0I07</t>
  </si>
  <si>
    <t>TDF2I84</t>
  </si>
  <si>
    <t>https://sv8.supervisao.com/Laudo/ImprimirFixo?IdLaudo=0AA70F96-BFEC-4EB0-8230-7C004FEE7EB0</t>
  </si>
  <si>
    <t>TJQ3B09</t>
  </si>
  <si>
    <t>https://sv8.supervisao.com/Laudo/ImprimirFixo?IdLaudo=2A895314-3B35-486B-B8B5-E50304FF4111</t>
  </si>
  <si>
    <t>TJY5I50</t>
  </si>
  <si>
    <t>TDL2A16</t>
  </si>
  <si>
    <t>TDV2F09</t>
  </si>
  <si>
    <t>2025/2025</t>
  </si>
  <si>
    <t>https://sv8.supervisao.com/Laudo/ImprimirFixo?IdLaudo=B2D2E269-CADD-4FC5-B116-F2D233C1ECE6</t>
  </si>
  <si>
    <t>TJY9F17</t>
  </si>
  <si>
    <t>EQJ2C01</t>
  </si>
  <si>
    <t>HIBRIDO</t>
  </si>
  <si>
    <t>https://sv8.supervisao.com/Laudo/ImprimirFixo?IdLaudo=C38E82CD-F264-4B39-BF15-7B4CEBA3214A</t>
  </si>
  <si>
    <t>EWD3D52</t>
  </si>
  <si>
    <t>https://sv8.supervisao.com/Laudo/ImprimirFixo?IdLaudo=CB1DB710-FA99-438C-9D68-CC15EA1AA0C9</t>
  </si>
  <si>
    <t>TIQ6G03</t>
  </si>
  <si>
    <t>https://sv8.supervisao.com/Laudo/ImprimirFixo?IdLaudo=B1F73D3F-BCB3-4761-8859-77C276CB636D</t>
  </si>
  <si>
    <t>SVZ4F85</t>
  </si>
  <si>
    <t>S10 PICK-UP WT 2.8 TDI 4X4 CD DIESEL MEC</t>
  </si>
  <si>
    <t>https://sv8.supervisao.com/Laudo/ImprimirFixo?IdLaudo=6942EDC1-2EE4-48E7-8225-DB9B4D511B12</t>
  </si>
  <si>
    <t>TMG1H55</t>
  </si>
  <si>
    <t>https://sv8.supervisao.com/Laudo/ImprimirFixo?IdLaudo=DC83AFBF-F9F0-4E8B-B413-BB896E3948EA</t>
  </si>
  <si>
    <t>SJD8D21</t>
  </si>
  <si>
    <t>https://sv8.supervisao.com/Laudo/ImprimirFixo?IdLaudo=40615674-83D6-4033-BEC9-1790CDC49B8C</t>
  </si>
  <si>
    <t>FWU4I62</t>
  </si>
  <si>
    <t>https://sv8.supervisao.com/Laudo/ImprimirFixo?IdLaudo=184E5A92-E0A7-4125-B74A-BC10ECFE5698</t>
  </si>
  <si>
    <t>FZE7C82</t>
  </si>
  <si>
    <t>https://sv8.supervisao.com/Laudo/ImprimirFixo?IdLaudo=477D3F5F-9E8D-48D1-ACD3-CD6BBAF748DB</t>
  </si>
  <si>
    <t>TLN8E82</t>
  </si>
  <si>
    <t>https://sv8.supervisao.com/Laudo/ImprimirFixo?IdLaudo=830CC901-A939-471E-A6B4-533F3EE6BE23</t>
  </si>
  <si>
    <t>EXJ5G96</t>
  </si>
  <si>
    <t>https://sv8.supervisao.com/Laudo/ImprimirFixo?IdLaudo=BF195825-E7DB-4A4F-954E-2459D6F2E2B5</t>
  </si>
  <si>
    <t>SYG8I31</t>
  </si>
  <si>
    <t>https://sv8.supervisao.com/Laudo/ImprimirFixo?IdLaudo=4580D3AC-4A85-4CBA-B8E1-3247C05B7ECC</t>
  </si>
  <si>
    <t>SSS4G54</t>
  </si>
  <si>
    <t>https://sv8.supervisao.com/Laudo/ImprimirFixo?IdLaudo=E817565D-B719-4EF6-A438-3346DE2BDD20</t>
  </si>
  <si>
    <t>EIE3E82</t>
  </si>
  <si>
    <t>XC 90 T-8 PLUS 2.0 AWD (HÍBRIDO) (BLIND)</t>
  </si>
  <si>
    <t>AZUL</t>
  </si>
  <si>
    <t>https://sv8.supervisao.com/Laudo/ImprimirFixo?IdLaudo=2E0D288C-8717-4020-9475-293F1332EA87</t>
  </si>
  <si>
    <t>STB8D38</t>
  </si>
  <si>
    <t>https://sv8.supervisao.com/Laudo/ImprimirFixo?IdLaudo=23D7AA7B-08F8-4AAE-9EF2-512D17800B62</t>
  </si>
  <si>
    <t>FZI8C92</t>
  </si>
  <si>
    <t>https://sv8.supervisao.com/Laudo/ImprimirFixo?IdLaudo=62544CA4-28EE-48BD-8A29-CA51A4D73B7D</t>
  </si>
  <si>
    <t>SHE9B65</t>
  </si>
  <si>
    <t>https://sv8.supervisao.com/Laudo/ImprimirFixo?IdLaudo=BE099159-2F47-4769-A9D9-DD2F67106056</t>
  </si>
  <si>
    <t>ROY0I13</t>
  </si>
  <si>
    <t>https://sv8.supervisao.com/Laudo/ImprimirFixo?IdLaudo=A25A8601-AA30-40F6-B983-DC1A191A6E48</t>
  </si>
  <si>
    <t>SVC0B93</t>
  </si>
  <si>
    <t>https://sv8.supervisao.com/Laudo/ImprimirFixo?IdLaudo=AFF6B225-D7EC-4E93-ACE7-D2EAE31B758B</t>
  </si>
  <si>
    <t>SJE9E09</t>
  </si>
  <si>
    <t>https://sv8.supervisao.com/Laudo/ImprimirFixo?IdLaudo=9D83F6E8-8781-43DC-B037-B6199E23F04B</t>
  </si>
  <si>
    <t>TCG2H09</t>
  </si>
  <si>
    <t>https://sv8.supervisao.com/Laudo/ImprimirFixo?IdLaudo=F8700CFD-E6EC-47CF-A32F-8F1DFFF616D3</t>
  </si>
  <si>
    <t>TCY3D08</t>
  </si>
  <si>
    <t>COMPASS LIMITED TD 350 2.0 4X4 DIE. AUT.</t>
  </si>
  <si>
    <t>https://sv8.supervisao.com/Laudo/ImprimirFixo?IdLaudo=3BF648E0-02BE-413A-A6CF-4E0DC8E36815</t>
  </si>
  <si>
    <t>SIY2D25</t>
  </si>
  <si>
    <t>https://sv8.supervisao.com/Laudo/ImprimirFixo?IdLaudo=57F047C7-A1CB-4801-B550-E7FF8E20242E</t>
  </si>
  <si>
    <t>SYE0I59</t>
  </si>
  <si>
    <t>https://sv8.supervisao.com/Laudo/ImprimirFixo?IdLaudo=DA3DB4E1-90E6-45D2-8829-E36613440E03</t>
  </si>
  <si>
    <t>SSS9E60</t>
  </si>
  <si>
    <t>https://sv8.supervisao.com/Laudo/ImprimirFixo?IdLaudo=EE1A0E8E-AD8C-4B47-9BBD-7C68A244EAF5</t>
  </si>
  <si>
    <t>DYD4A82</t>
  </si>
  <si>
    <t>https://sv8.supervisao.com/Laudo/ImprimirFixo?IdLaudo=6DDFC622-BD97-4B9A-94DA-26B88808B99B</t>
  </si>
  <si>
    <t>GDJ5E02</t>
  </si>
  <si>
    <t>https://sv8.supervisao.com/Laudo/ImprimirFixo?IdLaudo=5249E134-A85C-4431-A5B5-1E9897C73D5C</t>
  </si>
  <si>
    <t>EKU5I31</t>
  </si>
  <si>
    <t>TRACKER PREMIER 1.2 TURBO 12V FLEX AUT.</t>
  </si>
  <si>
    <t>https://sv8.supervisao.com/Laudo/ImprimirFixo?IdLaudo=D2D9F6E9-41CF-4485-B275-A451B37506D4</t>
  </si>
  <si>
    <t>SJE2I94</t>
  </si>
  <si>
    <t>COMPASS LONG. TD 350 2.0 4X4 DIESEL AUT.</t>
  </si>
  <si>
    <t>https://sv8.supervisao.com/Laudo/ImprimirFixo?IdLaudo=9F12E24E-457F-4A6A-9EC5-D0C6B8A9B891</t>
  </si>
  <si>
    <t>FYU0A92</t>
  </si>
  <si>
    <t>https://sv8.supervisao.com/Laudo/ImprimirFixo?IdLaudo=7AF1074C-D58F-45BF-ADF8-ECB7388CA3BA</t>
  </si>
  <si>
    <t>SSZ6B52</t>
  </si>
  <si>
    <t>https://sv8.supervisao.com/Laudo/ImprimirFixo?IdLaudo=B04D7D75-D0C4-4F39-B732-F5AE1BA43F47</t>
  </si>
  <si>
    <t>EWU9J66</t>
  </si>
  <si>
    <t>https://sv8.supervisao.com/Laudo/ImprimirFixo?IdLaudo=1054DCAD-1DEE-49A7-B6DC-4EDC4A0761F7</t>
  </si>
  <si>
    <t>EFW4H04</t>
  </si>
  <si>
    <t>https://sv8.supervisao.com/Laudo/ImprimirFixo?IdLaudo=B39C3CA7-E314-4920-A7BE-60EFB437F85A</t>
  </si>
  <si>
    <t>STH6G54</t>
  </si>
  <si>
    <t>https://sv8.supervisao.com/Laudo/ImprimirFixo?IdLaudo=F57EFDE0-F074-4A3D-88BD-971DE196ACEC</t>
  </si>
  <si>
    <t>EJX3I91</t>
  </si>
  <si>
    <t>https://sv8.supervisao.com/Laudo/ImprimirFixo?IdLaudo=93C5E12C-17CC-49F6-9A08-8E700A01C612</t>
  </si>
  <si>
    <t>SSV4D54</t>
  </si>
  <si>
    <t>https://sv8.supervisao.com/Laudo/ImprimirFixo?IdLaudo=D08F1377-2CC0-4849-BE1C-37FEA1EC97D1</t>
  </si>
  <si>
    <t>SYG8I25</t>
  </si>
  <si>
    <t>https://sv8.supervisao.com/Laudo/ImprimirFixo?IdLaudo=708A3DE7-05C7-4512-B00C-0E1C6DC7CE66</t>
  </si>
  <si>
    <t>QMY0A09</t>
  </si>
  <si>
    <t>https://sv8.supervisao.com/Laudo/ImprimirFixo?IdLaudo=3F7BB534-75C9-4540-893C-BD3C1DF6A8F8</t>
  </si>
  <si>
    <t>SUG7J12</t>
  </si>
  <si>
    <t>https://sv8.supervisao.com/Laudo/ImprimirFixo?IdLaudo=A2611C65-9B53-41B8-9F18-7777095E41CD</t>
  </si>
  <si>
    <t>TKA8E63</t>
  </si>
  <si>
    <t>https://sv8.supervisao.com/Laudo/ImprimirFixo?IdLaudo=264370CF-F47D-4BAB-B76A-D1DF34ADB600</t>
  </si>
  <si>
    <t>TCZ6F17</t>
  </si>
  <si>
    <t xml:space="preserve">STRADA FREEDOM 1.3 FLEX 8V  CS PLUS </t>
  </si>
  <si>
    <t>https://sv8.supervisao.com/Laudo/ImprimirFixo?IdLaudo=39D3F267-0902-4698-B327-4858420EDDFA</t>
  </si>
  <si>
    <t>EBN8A42</t>
  </si>
  <si>
    <t>Q5 SB P BLACK. 2.0 TFSIE S.TR. QT (HIB.) (BLIND)</t>
  </si>
  <si>
    <t>https://sv8.supervisao.com/Laudo/ImprimirFixo?IdLaudo=F02C5734-F234-4F08-9543-7EC58A181723</t>
  </si>
  <si>
    <t>SUB7H31</t>
  </si>
  <si>
    <t>TAOS HIGHLINE 1.4 250 TSI FLEX AUT.</t>
  </si>
  <si>
    <t>https://sv8.supervisao.com/Laudo/ImprimirFixo?IdLaudo=A836698A-999F-4E12-B9AC-B47D477CBC33</t>
  </si>
  <si>
    <t xml:space="preserve">Margem Lojista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</si>
</sst>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</font>
    <font>
      <b/>
      <sz val="8"/>
      <color rgb="FFFF0000"/>
      <name val="Calibri"/>
      <family val="2"/>
      <scheme val="minor"/>
    </font>
    <font>
      <u/>
      <sz val="8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gradientFill degree="90">
        <stop position="0">
          <color theme="0" tint="-5.0965910824915313E-2"/>
        </stop>
        <stop position="0.5">
          <color theme="0" tint="-0.1490218817712943"/>
        </stop>
        <stop position="1">
          <color theme="0" tint="-5.0965910824915313E-2"/>
        </stop>
      </gradient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69328897976622"/>
      </left>
      <right style="thin">
        <color theme="0" tint="-0.14969328897976622"/>
      </right>
      <top style="thin">
        <color theme="0" tint="-0.14969328897976622"/>
      </top>
      <bottom style="thin">
        <color theme="0" tint="-0.14969328897976622"/>
      </bottom>
      <diagonal/>
    </border>
    <border>
      <left style="thin">
        <color theme="0" tint="-0.14972380748924222"/>
      </left>
      <right style="thin">
        <color theme="0" tint="-0.14972380748924222"/>
      </right>
      <top style="thin">
        <color theme="0" tint="-0.14972380748924222"/>
      </top>
      <bottom style="thin">
        <color theme="0" tint="-0.1497238074892422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3" fillId="3" borderId="1" xfId="0" quotePrefix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3" fontId="2" fillId="0" borderId="2" xfId="0" applyNumberFormat="1" applyFont="1" applyBorder="1" applyAlignment="1">
      <alignment horizontal="center"/>
    </xf>
    <xf numFmtId="3" fontId="2" fillId="0" borderId="2" xfId="2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2" fillId="0" borderId="2" xfId="2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0" fontId="6" fillId="0" borderId="2" xfId="3" applyBorder="1" applyAlignment="1">
      <alignment horizontal="left"/>
    </xf>
    <xf numFmtId="3" fontId="2" fillId="4" borderId="2" xfId="2" applyNumberFormat="1" applyFont="1" applyFill="1" applyBorder="1" applyAlignment="1">
      <alignment horizontal="center"/>
    </xf>
  </cellXfs>
  <cellStyles count="4">
    <cellStyle name="Hiperlink" xfId="3" builtinId="8"/>
    <cellStyle name="Normal" xfId="0" builtinId="0"/>
    <cellStyle name="Porcentagem" xfId="1" builtinId="5"/>
    <cellStyle name="Porcentagem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602"/>
  <sheetViews>
    <sheetView tabSelected="1" workbookViewId="0">
      <selection activeCell="Q20" sqref="Q20"/>
    </sheetView>
  </sheetViews>
  <sheetFormatPr defaultColWidth="0" defaultRowHeight="15" x14ac:dyDescent="0.25"/>
  <cols>
    <col min="1" max="1" width="8.7109375" customWidth="1"/>
    <col min="2" max="2" width="38.7109375" customWidth="1"/>
    <col min="3" max="4" width="9.28515625" customWidth="1"/>
    <col min="5" max="5" width="7.85546875" customWidth="1"/>
    <col min="6" max="6" width="9" customWidth="1"/>
    <col min="7" max="8" width="8.7109375" customWidth="1"/>
    <col min="9" max="10" width="7.85546875" customWidth="1"/>
    <col min="15" max="15" width="9.85546875" customWidth="1"/>
    <col min="17" max="17" width="12.7109375" customWidth="1"/>
    <col min="18" max="18" width="8.7109375" customWidth="1"/>
    <col min="19" max="20" width="2.7109375" customWidth="1"/>
    <col min="21" max="30" width="0" hidden="1" customWidth="1"/>
    <col min="31" max="16384" width="7.85546875" hidden="1"/>
  </cols>
  <sheetData>
    <row r="1" spans="1:19" s="9" customFormat="1" ht="27.6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6" t="s">
        <v>6</v>
      </c>
      <c r="H1" s="6" t="s">
        <v>746</v>
      </c>
      <c r="I1" s="4" t="s">
        <v>7</v>
      </c>
      <c r="J1" s="5" t="s">
        <v>8</v>
      </c>
      <c r="O1" s="7"/>
      <c r="Q1" s="5"/>
      <c r="R1" s="5"/>
      <c r="S1" s="8"/>
    </row>
    <row r="2" spans="1:19" hidden="1" x14ac:dyDescent="0.25">
      <c r="A2" s="10" t="s">
        <v>134</v>
      </c>
      <c r="B2" s="11" t="s">
        <v>135</v>
      </c>
      <c r="C2" s="10" t="s">
        <v>11</v>
      </c>
      <c r="D2" s="10" t="s">
        <v>19</v>
      </c>
      <c r="E2" s="12">
        <v>59520</v>
      </c>
      <c r="F2" s="13">
        <v>67784</v>
      </c>
      <c r="G2" s="13">
        <v>55200</v>
      </c>
      <c r="H2" s="18">
        <f t="shared" ref="H2:H65" si="0">F2-G2</f>
        <v>12584</v>
      </c>
      <c r="I2" s="14">
        <v>-0.18564853062669701</v>
      </c>
      <c r="J2" s="16" t="s">
        <v>20</v>
      </c>
      <c r="O2" s="15" t="s">
        <v>13</v>
      </c>
      <c r="Q2" s="17" t="s">
        <v>136</v>
      </c>
      <c r="R2" s="13">
        <v>-5579</v>
      </c>
      <c r="S2" s="1"/>
    </row>
    <row r="3" spans="1:19" x14ac:dyDescent="0.25">
      <c r="A3" s="10" t="s">
        <v>33</v>
      </c>
      <c r="B3" s="11" t="s">
        <v>34</v>
      </c>
      <c r="C3" s="10" t="s">
        <v>35</v>
      </c>
      <c r="D3" s="10" t="s">
        <v>26</v>
      </c>
      <c r="E3" s="12">
        <v>30091</v>
      </c>
      <c r="F3" s="13">
        <v>69060</v>
      </c>
      <c r="G3" s="13">
        <v>64700</v>
      </c>
      <c r="H3" s="18">
        <f t="shared" si="0"/>
        <v>4360</v>
      </c>
      <c r="I3" s="14">
        <v>-3.5192365046227199E-2</v>
      </c>
      <c r="J3" s="16" t="s">
        <v>20</v>
      </c>
      <c r="O3" s="15"/>
      <c r="Q3" s="17"/>
      <c r="R3" s="13"/>
      <c r="S3" s="1"/>
    </row>
    <row r="4" spans="1:19" hidden="1" x14ac:dyDescent="0.25">
      <c r="A4" s="10" t="s">
        <v>576</v>
      </c>
      <c r="B4" s="11" t="s">
        <v>34</v>
      </c>
      <c r="C4" s="10" t="s">
        <v>35</v>
      </c>
      <c r="D4" s="10" t="s">
        <v>26</v>
      </c>
      <c r="E4" s="12">
        <v>89189</v>
      </c>
      <c r="F4" s="13">
        <v>69060</v>
      </c>
      <c r="G4" s="13">
        <v>65300</v>
      </c>
      <c r="H4" s="18">
        <f t="shared" si="0"/>
        <v>3760</v>
      </c>
      <c r="I4" s="14">
        <v>-2.6245153593796599E-2</v>
      </c>
      <c r="J4" s="16" t="s">
        <v>21</v>
      </c>
      <c r="O4" s="15" t="s">
        <v>13</v>
      </c>
      <c r="Q4" s="17" t="s">
        <v>21</v>
      </c>
      <c r="R4" s="13">
        <v>0</v>
      </c>
      <c r="S4" s="1"/>
    </row>
    <row r="5" spans="1:19" hidden="1" x14ac:dyDescent="0.25">
      <c r="A5" s="10" t="s">
        <v>54</v>
      </c>
      <c r="B5" s="11" t="s">
        <v>55</v>
      </c>
      <c r="C5" s="10" t="s">
        <v>56</v>
      </c>
      <c r="D5" s="10" t="s">
        <v>19</v>
      </c>
      <c r="E5" s="12">
        <v>185937</v>
      </c>
      <c r="F5" s="13">
        <v>92790</v>
      </c>
      <c r="G5" s="13">
        <v>78400</v>
      </c>
      <c r="H5" s="18">
        <f t="shared" si="0"/>
        <v>14390</v>
      </c>
      <c r="I5" s="14">
        <v>-0.15508136652656501</v>
      </c>
      <c r="J5" s="16" t="s">
        <v>21</v>
      </c>
      <c r="O5" s="15" t="s">
        <v>13</v>
      </c>
      <c r="Q5" s="17" t="s">
        <v>21</v>
      </c>
      <c r="R5" s="13">
        <v>0</v>
      </c>
      <c r="S5" s="1"/>
    </row>
    <row r="6" spans="1:19" hidden="1" x14ac:dyDescent="0.25">
      <c r="A6" s="10" t="s">
        <v>60</v>
      </c>
      <c r="B6" s="11" t="s">
        <v>55</v>
      </c>
      <c r="C6" s="10" t="s">
        <v>56</v>
      </c>
      <c r="D6" s="10" t="s">
        <v>19</v>
      </c>
      <c r="E6" s="12">
        <v>109149</v>
      </c>
      <c r="F6" s="13">
        <v>92790</v>
      </c>
      <c r="G6" s="13">
        <v>84000</v>
      </c>
      <c r="H6" s="18">
        <f t="shared" si="0"/>
        <v>8790</v>
      </c>
      <c r="I6" s="14">
        <v>-9.4730035564177098E-2</v>
      </c>
      <c r="J6" s="16" t="s">
        <v>21</v>
      </c>
      <c r="O6" s="15" t="s">
        <v>13</v>
      </c>
      <c r="Q6" s="17" t="s">
        <v>21</v>
      </c>
      <c r="R6" s="13">
        <v>0</v>
      </c>
      <c r="S6" s="1"/>
    </row>
    <row r="7" spans="1:19" hidden="1" x14ac:dyDescent="0.25">
      <c r="A7" s="10" t="s">
        <v>61</v>
      </c>
      <c r="B7" s="11" t="s">
        <v>55</v>
      </c>
      <c r="C7" s="10" t="s">
        <v>56</v>
      </c>
      <c r="D7" s="10" t="s">
        <v>19</v>
      </c>
      <c r="E7" s="12">
        <v>92805</v>
      </c>
      <c r="F7" s="13">
        <v>92790</v>
      </c>
      <c r="G7" s="13">
        <v>61800</v>
      </c>
      <c r="H7" s="18">
        <f t="shared" si="0"/>
        <v>30990</v>
      </c>
      <c r="I7" s="14">
        <v>-0.33397995473650199</v>
      </c>
      <c r="J7" s="16" t="s">
        <v>14</v>
      </c>
      <c r="O7" s="15" t="s">
        <v>13</v>
      </c>
      <c r="Q7" s="17" t="s">
        <v>62</v>
      </c>
      <c r="R7" s="13">
        <v>-18135</v>
      </c>
      <c r="S7" s="1"/>
    </row>
    <row r="8" spans="1:19" hidden="1" x14ac:dyDescent="0.25">
      <c r="A8" s="10" t="s">
        <v>63</v>
      </c>
      <c r="B8" s="11" t="s">
        <v>55</v>
      </c>
      <c r="C8" s="10" t="s">
        <v>56</v>
      </c>
      <c r="D8" s="10" t="s">
        <v>19</v>
      </c>
      <c r="E8" s="12">
        <v>158460</v>
      </c>
      <c r="F8" s="13">
        <v>92790</v>
      </c>
      <c r="G8" s="13">
        <v>60100</v>
      </c>
      <c r="H8" s="18">
        <f t="shared" si="0"/>
        <v>32690</v>
      </c>
      <c r="I8" s="14">
        <v>-0.352300894492941</v>
      </c>
      <c r="J8" s="16" t="s">
        <v>14</v>
      </c>
      <c r="O8" s="15" t="s">
        <v>13</v>
      </c>
      <c r="Q8" s="17" t="s">
        <v>64</v>
      </c>
      <c r="R8" s="13">
        <v>-17868</v>
      </c>
      <c r="S8" s="1"/>
    </row>
    <row r="9" spans="1:19" hidden="1" x14ac:dyDescent="0.25">
      <c r="A9" s="10" t="s">
        <v>65</v>
      </c>
      <c r="B9" s="11" t="s">
        <v>55</v>
      </c>
      <c r="C9" s="10" t="s">
        <v>56</v>
      </c>
      <c r="D9" s="10" t="s">
        <v>19</v>
      </c>
      <c r="E9" s="12">
        <v>127793</v>
      </c>
      <c r="F9" s="13">
        <v>92790</v>
      </c>
      <c r="G9" s="13">
        <v>83200</v>
      </c>
      <c r="H9" s="18">
        <f t="shared" si="0"/>
        <v>9590</v>
      </c>
      <c r="I9" s="14">
        <v>-0.10335165427309</v>
      </c>
      <c r="J9" s="16" t="s">
        <v>21</v>
      </c>
      <c r="O9" s="15" t="s">
        <v>13</v>
      </c>
      <c r="Q9" s="17" t="s">
        <v>21</v>
      </c>
      <c r="R9" s="13">
        <v>0</v>
      </c>
      <c r="S9" s="1"/>
    </row>
    <row r="10" spans="1:19" hidden="1" x14ac:dyDescent="0.25">
      <c r="A10" s="10" t="s">
        <v>66</v>
      </c>
      <c r="B10" s="11" t="s">
        <v>55</v>
      </c>
      <c r="C10" s="10" t="s">
        <v>56</v>
      </c>
      <c r="D10" s="10" t="s">
        <v>19</v>
      </c>
      <c r="E10" s="12">
        <v>155527</v>
      </c>
      <c r="F10" s="13">
        <v>92790</v>
      </c>
      <c r="G10" s="13">
        <v>76100</v>
      </c>
      <c r="H10" s="18">
        <f t="shared" si="0"/>
        <v>16690</v>
      </c>
      <c r="I10" s="14">
        <v>-0.179868520314689</v>
      </c>
      <c r="J10" s="16" t="s">
        <v>14</v>
      </c>
      <c r="O10" s="15" t="s">
        <v>13</v>
      </c>
      <c r="Q10" s="17" t="s">
        <v>67</v>
      </c>
      <c r="R10" s="13">
        <v>-1800</v>
      </c>
      <c r="S10" s="1"/>
    </row>
    <row r="11" spans="1:19" hidden="1" x14ac:dyDescent="0.25">
      <c r="A11" s="10" t="s">
        <v>68</v>
      </c>
      <c r="B11" s="11" t="s">
        <v>55</v>
      </c>
      <c r="C11" s="10" t="s">
        <v>56</v>
      </c>
      <c r="D11" s="10" t="s">
        <v>19</v>
      </c>
      <c r="E11" s="12">
        <v>240004</v>
      </c>
      <c r="F11" s="13">
        <v>92790</v>
      </c>
      <c r="G11" s="13">
        <v>74700</v>
      </c>
      <c r="H11" s="18">
        <f t="shared" si="0"/>
        <v>18090</v>
      </c>
      <c r="I11" s="14">
        <v>-0.194956353055286</v>
      </c>
      <c r="J11" s="16" t="s">
        <v>14</v>
      </c>
      <c r="O11" s="15" t="s">
        <v>13</v>
      </c>
      <c r="Q11" s="17" t="s">
        <v>69</v>
      </c>
      <c r="R11" s="13">
        <v>-1635</v>
      </c>
      <c r="S11" s="1"/>
    </row>
    <row r="12" spans="1:19" hidden="1" x14ac:dyDescent="0.25">
      <c r="A12" s="10" t="s">
        <v>70</v>
      </c>
      <c r="B12" s="11" t="s">
        <v>55</v>
      </c>
      <c r="C12" s="10" t="s">
        <v>56</v>
      </c>
      <c r="D12" s="10" t="s">
        <v>19</v>
      </c>
      <c r="E12" s="12">
        <v>154811</v>
      </c>
      <c r="F12" s="13">
        <v>92790</v>
      </c>
      <c r="G12" s="13">
        <v>72800</v>
      </c>
      <c r="H12" s="18">
        <f t="shared" si="0"/>
        <v>19990</v>
      </c>
      <c r="I12" s="14">
        <v>-0.21543269748895399</v>
      </c>
      <c r="J12" s="16" t="s">
        <v>20</v>
      </c>
      <c r="O12" s="15" t="s">
        <v>13</v>
      </c>
      <c r="Q12" s="17" t="s">
        <v>71</v>
      </c>
      <c r="R12" s="13">
        <v>-6345</v>
      </c>
      <c r="S12" s="1"/>
    </row>
    <row r="13" spans="1:19" hidden="1" x14ac:dyDescent="0.25">
      <c r="A13" s="10" t="s">
        <v>72</v>
      </c>
      <c r="B13" s="11" t="s">
        <v>55</v>
      </c>
      <c r="C13" s="10" t="s">
        <v>56</v>
      </c>
      <c r="D13" s="10" t="s">
        <v>19</v>
      </c>
      <c r="E13" s="12">
        <v>159191</v>
      </c>
      <c r="F13" s="13">
        <v>92790</v>
      </c>
      <c r="G13" s="13">
        <v>69900</v>
      </c>
      <c r="H13" s="18">
        <f t="shared" si="0"/>
        <v>22890</v>
      </c>
      <c r="I13" s="14">
        <v>-0.246686065308762</v>
      </c>
      <c r="J13" s="16" t="s">
        <v>23</v>
      </c>
      <c r="O13" s="15" t="s">
        <v>13</v>
      </c>
      <c r="Q13" s="17" t="s">
        <v>73</v>
      </c>
      <c r="R13" s="13">
        <v>-4543</v>
      </c>
      <c r="S13" s="1"/>
    </row>
    <row r="14" spans="1:19" hidden="1" x14ac:dyDescent="0.25">
      <c r="A14" s="10" t="s">
        <v>74</v>
      </c>
      <c r="B14" s="11" t="s">
        <v>55</v>
      </c>
      <c r="C14" s="10" t="s">
        <v>56</v>
      </c>
      <c r="D14" s="10" t="s">
        <v>19</v>
      </c>
      <c r="E14" s="12">
        <v>224173</v>
      </c>
      <c r="F14" s="13">
        <v>92790</v>
      </c>
      <c r="G14" s="13">
        <v>68600</v>
      </c>
      <c r="H14" s="18">
        <f t="shared" si="0"/>
        <v>24190</v>
      </c>
      <c r="I14" s="14">
        <v>-0.26069619571074498</v>
      </c>
      <c r="J14" s="16" t="s">
        <v>14</v>
      </c>
      <c r="O14" s="15" t="s">
        <v>13</v>
      </c>
      <c r="Q14" s="17" t="s">
        <v>75</v>
      </c>
      <c r="R14" s="13">
        <v>-6660</v>
      </c>
      <c r="S14" s="1"/>
    </row>
    <row r="15" spans="1:19" hidden="1" x14ac:dyDescent="0.25">
      <c r="A15" s="10" t="s">
        <v>76</v>
      </c>
      <c r="B15" s="11" t="s">
        <v>55</v>
      </c>
      <c r="C15" s="10" t="s">
        <v>56</v>
      </c>
      <c r="D15" s="10" t="s">
        <v>19</v>
      </c>
      <c r="E15" s="12">
        <v>174958</v>
      </c>
      <c r="F15" s="13">
        <v>92790</v>
      </c>
      <c r="G15" s="13">
        <v>63800</v>
      </c>
      <c r="H15" s="18">
        <f t="shared" si="0"/>
        <v>28990</v>
      </c>
      <c r="I15" s="14">
        <v>-0.31242590796421998</v>
      </c>
      <c r="J15" s="16" t="s">
        <v>14</v>
      </c>
      <c r="O15" s="15" t="s">
        <v>13</v>
      </c>
      <c r="Q15" s="17" t="s">
        <v>77</v>
      </c>
      <c r="R15" s="13">
        <v>-12175</v>
      </c>
      <c r="S15" s="1"/>
    </row>
    <row r="16" spans="1:19" hidden="1" x14ac:dyDescent="0.25">
      <c r="A16" s="10" t="s">
        <v>78</v>
      </c>
      <c r="B16" s="11" t="s">
        <v>55</v>
      </c>
      <c r="C16" s="10" t="s">
        <v>56</v>
      </c>
      <c r="D16" s="10" t="s">
        <v>19</v>
      </c>
      <c r="E16" s="12">
        <v>103617</v>
      </c>
      <c r="F16" s="13">
        <v>92790</v>
      </c>
      <c r="G16" s="13">
        <v>76000</v>
      </c>
      <c r="H16" s="18">
        <f t="shared" si="0"/>
        <v>16790</v>
      </c>
      <c r="I16" s="14">
        <v>-0.18094622265330301</v>
      </c>
      <c r="J16" s="16" t="s">
        <v>20</v>
      </c>
      <c r="O16" s="15" t="s">
        <v>13</v>
      </c>
      <c r="Q16" s="17" t="s">
        <v>79</v>
      </c>
      <c r="R16" s="13">
        <v>-5595</v>
      </c>
      <c r="S16" s="1"/>
    </row>
    <row r="17" spans="1:19" hidden="1" x14ac:dyDescent="0.25">
      <c r="A17" s="10" t="s">
        <v>87</v>
      </c>
      <c r="B17" s="11" t="s">
        <v>55</v>
      </c>
      <c r="C17" s="10" t="s">
        <v>56</v>
      </c>
      <c r="D17" s="10" t="s">
        <v>19</v>
      </c>
      <c r="E17" s="12">
        <v>124908</v>
      </c>
      <c r="F17" s="13">
        <v>92790</v>
      </c>
      <c r="G17" s="13">
        <v>77900</v>
      </c>
      <c r="H17" s="18">
        <f t="shared" si="0"/>
        <v>14890</v>
      </c>
      <c r="I17" s="14">
        <v>-0.16046987821963599</v>
      </c>
      <c r="J17" s="16" t="s">
        <v>20</v>
      </c>
      <c r="O17" s="15" t="s">
        <v>13</v>
      </c>
      <c r="Q17" s="17" t="s">
        <v>88</v>
      </c>
      <c r="R17" s="13">
        <v>-2850</v>
      </c>
      <c r="S17" s="1"/>
    </row>
    <row r="18" spans="1:19" hidden="1" x14ac:dyDescent="0.25">
      <c r="A18" s="10" t="s">
        <v>89</v>
      </c>
      <c r="B18" s="11" t="s">
        <v>55</v>
      </c>
      <c r="C18" s="10" t="s">
        <v>56</v>
      </c>
      <c r="D18" s="10" t="s">
        <v>19</v>
      </c>
      <c r="E18" s="12">
        <v>142566</v>
      </c>
      <c r="F18" s="13">
        <v>92790</v>
      </c>
      <c r="G18" s="13">
        <v>68600</v>
      </c>
      <c r="H18" s="18">
        <f t="shared" si="0"/>
        <v>24190</v>
      </c>
      <c r="I18" s="14">
        <v>-0.26069619571074498</v>
      </c>
      <c r="J18" s="16" t="s">
        <v>20</v>
      </c>
      <c r="O18" s="15" t="s">
        <v>13</v>
      </c>
      <c r="Q18" s="17" t="s">
        <v>90</v>
      </c>
      <c r="R18" s="13">
        <v>-12195</v>
      </c>
      <c r="S18" s="1"/>
    </row>
    <row r="19" spans="1:19" hidden="1" x14ac:dyDescent="0.25">
      <c r="A19" s="10" t="s">
        <v>57</v>
      </c>
      <c r="B19" s="11" t="s">
        <v>58</v>
      </c>
      <c r="C19" s="10" t="s">
        <v>56</v>
      </c>
      <c r="D19" s="10" t="s">
        <v>19</v>
      </c>
      <c r="E19" s="12">
        <v>174686</v>
      </c>
      <c r="F19" s="13">
        <v>94107</v>
      </c>
      <c r="G19" s="13">
        <v>70400</v>
      </c>
      <c r="H19" s="18">
        <f t="shared" si="0"/>
        <v>23707</v>
      </c>
      <c r="I19" s="14">
        <v>-0.25191537292656202</v>
      </c>
      <c r="J19" s="16" t="s">
        <v>20</v>
      </c>
      <c r="O19" s="15" t="s">
        <v>13</v>
      </c>
      <c r="Q19" s="17" t="s">
        <v>59</v>
      </c>
      <c r="R19" s="13">
        <v>-9855</v>
      </c>
      <c r="S19" s="1"/>
    </row>
    <row r="20" spans="1:19" x14ac:dyDescent="0.25">
      <c r="A20" s="10" t="s">
        <v>288</v>
      </c>
      <c r="B20" s="11" t="s">
        <v>289</v>
      </c>
      <c r="C20" s="10" t="s">
        <v>285</v>
      </c>
      <c r="D20" s="10" t="s">
        <v>12</v>
      </c>
      <c r="E20" s="12">
        <v>56918</v>
      </c>
      <c r="F20" s="13">
        <v>60500</v>
      </c>
      <c r="G20" s="13">
        <v>49800</v>
      </c>
      <c r="H20" s="18">
        <f t="shared" si="0"/>
        <v>10700</v>
      </c>
      <c r="I20" s="14">
        <v>-0.176859504132231</v>
      </c>
      <c r="J20" s="16" t="s">
        <v>20</v>
      </c>
      <c r="O20" s="15"/>
      <c r="Q20" s="17"/>
      <c r="R20" s="13"/>
      <c r="S20" s="1"/>
    </row>
    <row r="21" spans="1:19" hidden="1" x14ac:dyDescent="0.25">
      <c r="A21" s="10" t="s">
        <v>293</v>
      </c>
      <c r="B21" s="11" t="s">
        <v>289</v>
      </c>
      <c r="C21" s="10" t="s">
        <v>285</v>
      </c>
      <c r="D21" s="10" t="s">
        <v>19</v>
      </c>
      <c r="E21" s="12">
        <v>0</v>
      </c>
      <c r="F21" s="13">
        <v>60500</v>
      </c>
      <c r="G21" s="13">
        <v>44800</v>
      </c>
      <c r="H21" s="18">
        <f t="shared" si="0"/>
        <v>15700</v>
      </c>
      <c r="I21" s="14">
        <v>-0.259504132231405</v>
      </c>
      <c r="J21" s="16" t="s">
        <v>14</v>
      </c>
      <c r="O21" s="15" t="s">
        <v>13</v>
      </c>
      <c r="Q21" s="17" t="s">
        <v>294</v>
      </c>
      <c r="R21" s="13">
        <v>-10304</v>
      </c>
      <c r="S21" s="1"/>
    </row>
    <row r="22" spans="1:19" hidden="1" x14ac:dyDescent="0.25">
      <c r="A22" s="10" t="s">
        <v>361</v>
      </c>
      <c r="B22" s="11" t="s">
        <v>289</v>
      </c>
      <c r="C22" s="10" t="s">
        <v>18</v>
      </c>
      <c r="D22" s="10" t="s">
        <v>19</v>
      </c>
      <c r="E22" s="12">
        <v>99441</v>
      </c>
      <c r="F22" s="13">
        <v>65621</v>
      </c>
      <c r="G22" s="13">
        <v>58600</v>
      </c>
      <c r="H22" s="18">
        <f t="shared" si="0"/>
        <v>7021</v>
      </c>
      <c r="I22" s="14">
        <v>-0.10699318815623</v>
      </c>
      <c r="J22" s="16" t="s">
        <v>21</v>
      </c>
      <c r="O22" s="15" t="s">
        <v>13</v>
      </c>
      <c r="Q22" s="17" t="s">
        <v>21</v>
      </c>
      <c r="R22" s="13">
        <v>0</v>
      </c>
      <c r="S22" s="1"/>
    </row>
    <row r="23" spans="1:19" x14ac:dyDescent="0.25">
      <c r="A23" s="10" t="s">
        <v>533</v>
      </c>
      <c r="B23" s="11" t="s">
        <v>289</v>
      </c>
      <c r="C23" s="10" t="s">
        <v>35</v>
      </c>
      <c r="D23" s="10" t="s">
        <v>19</v>
      </c>
      <c r="E23" s="12">
        <v>22641</v>
      </c>
      <c r="F23" s="13">
        <v>65621</v>
      </c>
      <c r="G23" s="13">
        <v>63400</v>
      </c>
      <c r="H23" s="18">
        <f t="shared" si="0"/>
        <v>2221</v>
      </c>
      <c r="I23" s="14">
        <v>-3.38458725103244E-2</v>
      </c>
      <c r="J23" s="16" t="s">
        <v>21</v>
      </c>
      <c r="O23" s="15"/>
      <c r="Q23" s="17"/>
      <c r="R23" s="13"/>
      <c r="S23" s="1"/>
    </row>
    <row r="24" spans="1:19" hidden="1" x14ac:dyDescent="0.25">
      <c r="A24" s="10" t="s">
        <v>731</v>
      </c>
      <c r="B24" s="11" t="s">
        <v>289</v>
      </c>
      <c r="C24" s="10" t="s">
        <v>45</v>
      </c>
      <c r="D24" s="10" t="s">
        <v>19</v>
      </c>
      <c r="E24" s="12">
        <v>38295</v>
      </c>
      <c r="F24" s="13">
        <v>72199</v>
      </c>
      <c r="G24" s="13">
        <v>66500</v>
      </c>
      <c r="H24" s="18">
        <f t="shared" si="0"/>
        <v>5699</v>
      </c>
      <c r="I24" s="14">
        <v>-7.8934611282704695E-2</v>
      </c>
      <c r="J24" s="16" t="s">
        <v>14</v>
      </c>
      <c r="O24" s="15" t="s">
        <v>653</v>
      </c>
      <c r="Q24" s="17" t="s">
        <v>732</v>
      </c>
      <c r="R24" s="13">
        <v>0</v>
      </c>
      <c r="S24" s="1"/>
    </row>
    <row r="25" spans="1:19" hidden="1" x14ac:dyDescent="0.25">
      <c r="A25" s="10" t="s">
        <v>175</v>
      </c>
      <c r="B25" s="11" t="s">
        <v>176</v>
      </c>
      <c r="C25" s="10" t="s">
        <v>42</v>
      </c>
      <c r="D25" s="10" t="s">
        <v>12</v>
      </c>
      <c r="E25" s="12">
        <v>88703</v>
      </c>
      <c r="F25" s="13">
        <v>64020</v>
      </c>
      <c r="G25" s="13">
        <v>60100</v>
      </c>
      <c r="H25" s="18">
        <f t="shared" si="0"/>
        <v>3920</v>
      </c>
      <c r="I25" s="14">
        <v>-6.1230865354576697E-2</v>
      </c>
      <c r="J25" s="16" t="s">
        <v>21</v>
      </c>
      <c r="O25" s="15" t="s">
        <v>13</v>
      </c>
      <c r="Q25" s="17" t="s">
        <v>21</v>
      </c>
      <c r="R25" s="13">
        <v>0</v>
      </c>
      <c r="S25" s="1"/>
    </row>
    <row r="26" spans="1:19" hidden="1" x14ac:dyDescent="0.25">
      <c r="A26" s="10" t="s">
        <v>257</v>
      </c>
      <c r="B26" s="11" t="s">
        <v>176</v>
      </c>
      <c r="C26" s="10" t="s">
        <v>42</v>
      </c>
      <c r="D26" s="10" t="s">
        <v>12</v>
      </c>
      <c r="E26" s="12">
        <v>90581</v>
      </c>
      <c r="F26" s="13">
        <v>64020</v>
      </c>
      <c r="G26" s="13">
        <v>60100</v>
      </c>
      <c r="H26" s="18">
        <f t="shared" si="0"/>
        <v>3920</v>
      </c>
      <c r="I26" s="14">
        <v>-6.1230865354576697E-2</v>
      </c>
      <c r="J26" s="16" t="s">
        <v>21</v>
      </c>
      <c r="O26" s="15" t="s">
        <v>13</v>
      </c>
      <c r="Q26" s="17" t="s">
        <v>21</v>
      </c>
      <c r="R26" s="13">
        <v>0</v>
      </c>
      <c r="S26" s="1"/>
    </row>
    <row r="27" spans="1:19" hidden="1" x14ac:dyDescent="0.25">
      <c r="A27" s="10" t="s">
        <v>273</v>
      </c>
      <c r="B27" s="11" t="s">
        <v>176</v>
      </c>
      <c r="C27" s="10" t="s">
        <v>42</v>
      </c>
      <c r="D27" s="10" t="s">
        <v>19</v>
      </c>
      <c r="E27" s="12">
        <v>39783</v>
      </c>
      <c r="F27" s="13">
        <v>64020</v>
      </c>
      <c r="G27" s="13">
        <v>51900</v>
      </c>
      <c r="H27" s="18">
        <f t="shared" si="0"/>
        <v>12120</v>
      </c>
      <c r="I27" s="14">
        <v>-0.189315838800375</v>
      </c>
      <c r="J27" s="16" t="s">
        <v>14</v>
      </c>
      <c r="O27" s="15" t="s">
        <v>13</v>
      </c>
      <c r="Q27" s="17" t="s">
        <v>274</v>
      </c>
      <c r="R27" s="13">
        <v>-7223</v>
      </c>
      <c r="S27" s="1"/>
    </row>
    <row r="28" spans="1:19" x14ac:dyDescent="0.25">
      <c r="A28" s="10" t="s">
        <v>544</v>
      </c>
      <c r="B28" s="11" t="s">
        <v>176</v>
      </c>
      <c r="C28" s="10" t="s">
        <v>35</v>
      </c>
      <c r="D28" s="10" t="s">
        <v>12</v>
      </c>
      <c r="E28" s="12">
        <v>92000</v>
      </c>
      <c r="F28" s="13">
        <v>68804</v>
      </c>
      <c r="G28" s="13">
        <v>59000</v>
      </c>
      <c r="H28" s="18">
        <f t="shared" si="0"/>
        <v>9804</v>
      </c>
      <c r="I28" s="14">
        <v>-0.14249171559793</v>
      </c>
      <c r="J28" s="16" t="s">
        <v>20</v>
      </c>
      <c r="O28" s="15"/>
      <c r="Q28" s="17"/>
      <c r="R28" s="13"/>
      <c r="S28" s="1"/>
    </row>
    <row r="29" spans="1:19" x14ac:dyDescent="0.25">
      <c r="A29" s="10" t="s">
        <v>545</v>
      </c>
      <c r="B29" s="11" t="s">
        <v>176</v>
      </c>
      <c r="C29" s="10" t="s">
        <v>35</v>
      </c>
      <c r="D29" s="10" t="s">
        <v>19</v>
      </c>
      <c r="E29" s="12">
        <v>92300</v>
      </c>
      <c r="F29" s="13">
        <v>68804</v>
      </c>
      <c r="G29" s="13">
        <v>57900</v>
      </c>
      <c r="H29" s="18">
        <f t="shared" si="0"/>
        <v>10904</v>
      </c>
      <c r="I29" s="14">
        <v>-0.15847915818847699</v>
      </c>
      <c r="J29" s="16" t="s">
        <v>21</v>
      </c>
      <c r="O29" s="15"/>
      <c r="Q29" s="17"/>
      <c r="R29" s="13"/>
      <c r="S29" s="1"/>
    </row>
    <row r="30" spans="1:19" hidden="1" x14ac:dyDescent="0.25">
      <c r="A30" s="10" t="s">
        <v>584</v>
      </c>
      <c r="B30" s="11" t="s">
        <v>585</v>
      </c>
      <c r="C30" s="10" t="s">
        <v>35</v>
      </c>
      <c r="D30" s="10" t="s">
        <v>26</v>
      </c>
      <c r="E30" s="12">
        <v>3068</v>
      </c>
      <c r="F30" s="13">
        <v>68912</v>
      </c>
      <c r="G30" s="13">
        <v>54200</v>
      </c>
      <c r="H30" s="18">
        <f t="shared" si="0"/>
        <v>14712</v>
      </c>
      <c r="I30" s="14">
        <v>-0.213489667982354</v>
      </c>
      <c r="J30" s="16" t="s">
        <v>14</v>
      </c>
      <c r="O30" s="15" t="s">
        <v>13</v>
      </c>
      <c r="Q30" s="17" t="s">
        <v>586</v>
      </c>
      <c r="R30" s="13">
        <v>-8535</v>
      </c>
      <c r="S30" s="1"/>
    </row>
    <row r="31" spans="1:19" x14ac:dyDescent="0.25">
      <c r="A31" s="10" t="s">
        <v>464</v>
      </c>
      <c r="B31" s="11" t="s">
        <v>465</v>
      </c>
      <c r="C31" s="10" t="s">
        <v>18</v>
      </c>
      <c r="D31" s="10" t="s">
        <v>52</v>
      </c>
      <c r="E31" s="12">
        <v>66474</v>
      </c>
      <c r="F31" s="13">
        <v>65440</v>
      </c>
      <c r="G31" s="13">
        <v>53800</v>
      </c>
      <c r="H31" s="18">
        <f t="shared" si="0"/>
        <v>11640</v>
      </c>
      <c r="I31" s="14">
        <v>-0.17787286063569699</v>
      </c>
      <c r="J31" s="16" t="s">
        <v>23</v>
      </c>
      <c r="O31" s="15"/>
      <c r="Q31" s="17"/>
      <c r="R31" s="13"/>
      <c r="S31" s="1"/>
    </row>
    <row r="32" spans="1:19" hidden="1" x14ac:dyDescent="0.25">
      <c r="A32" s="10" t="s">
        <v>648</v>
      </c>
      <c r="B32" s="11" t="s">
        <v>465</v>
      </c>
      <c r="C32" s="10" t="s">
        <v>649</v>
      </c>
      <c r="D32" s="10" t="s">
        <v>26</v>
      </c>
      <c r="E32" s="12">
        <v>10015</v>
      </c>
      <c r="F32" s="13">
        <v>71383</v>
      </c>
      <c r="G32" s="13">
        <v>59000</v>
      </c>
      <c r="H32" s="18">
        <f t="shared" si="0"/>
        <v>12383</v>
      </c>
      <c r="I32" s="14">
        <v>-0.17347267556701201</v>
      </c>
      <c r="J32" s="16" t="s">
        <v>20</v>
      </c>
      <c r="O32" s="15" t="s">
        <v>13</v>
      </c>
      <c r="Q32" s="17" t="s">
        <v>650</v>
      </c>
      <c r="R32" s="13">
        <v>-7930</v>
      </c>
      <c r="S32" s="1"/>
    </row>
    <row r="33" spans="1:19" hidden="1" x14ac:dyDescent="0.25">
      <c r="A33" s="10" t="s">
        <v>154</v>
      </c>
      <c r="B33" s="11" t="s">
        <v>155</v>
      </c>
      <c r="C33" s="10" t="s">
        <v>30</v>
      </c>
      <c r="D33" s="10" t="s">
        <v>31</v>
      </c>
      <c r="E33" s="12">
        <v>63553</v>
      </c>
      <c r="F33" s="13">
        <v>75273</v>
      </c>
      <c r="G33" s="13">
        <v>60500</v>
      </c>
      <c r="H33" s="18">
        <f t="shared" si="0"/>
        <v>14773</v>
      </c>
      <c r="I33" s="14">
        <v>-0.196258950752594</v>
      </c>
      <c r="J33" s="16" t="s">
        <v>23</v>
      </c>
      <c r="O33" s="15" t="s">
        <v>13</v>
      </c>
      <c r="Q33" s="17" t="s">
        <v>156</v>
      </c>
      <c r="R33" s="13">
        <v>-4200</v>
      </c>
      <c r="S33" s="1"/>
    </row>
    <row r="34" spans="1:19" hidden="1" x14ac:dyDescent="0.25">
      <c r="A34" s="10" t="s">
        <v>696</v>
      </c>
      <c r="B34" s="11" t="s">
        <v>697</v>
      </c>
      <c r="C34" s="10" t="s">
        <v>45</v>
      </c>
      <c r="D34" s="10" t="s">
        <v>680</v>
      </c>
      <c r="E34" s="12">
        <v>41685</v>
      </c>
      <c r="F34" s="13">
        <v>204376</v>
      </c>
      <c r="G34" s="13">
        <v>184000</v>
      </c>
      <c r="H34" s="18">
        <f t="shared" si="0"/>
        <v>20376</v>
      </c>
      <c r="I34" s="14">
        <v>-9.9698594746937E-2</v>
      </c>
      <c r="J34" s="16" t="s">
        <v>20</v>
      </c>
      <c r="O34" s="15" t="s">
        <v>653</v>
      </c>
      <c r="Q34" s="17" t="s">
        <v>698</v>
      </c>
      <c r="R34" s="13">
        <v>0</v>
      </c>
      <c r="S34" s="1"/>
    </row>
    <row r="35" spans="1:19" x14ac:dyDescent="0.25">
      <c r="A35" s="10" t="s">
        <v>137</v>
      </c>
      <c r="B35" s="11" t="s">
        <v>138</v>
      </c>
      <c r="C35" s="10" t="s">
        <v>30</v>
      </c>
      <c r="D35" s="10" t="s">
        <v>26</v>
      </c>
      <c r="E35" s="12">
        <v>49970</v>
      </c>
      <c r="F35" s="13">
        <v>123450</v>
      </c>
      <c r="G35" s="13">
        <v>102200</v>
      </c>
      <c r="H35" s="18">
        <f t="shared" si="0"/>
        <v>21250</v>
      </c>
      <c r="I35" s="14">
        <v>-0.17213446739570701</v>
      </c>
      <c r="J35" s="16" t="s">
        <v>20</v>
      </c>
      <c r="O35" s="15"/>
      <c r="Q35" s="17"/>
      <c r="R35" s="13"/>
      <c r="S35" s="1"/>
    </row>
    <row r="36" spans="1:19" hidden="1" x14ac:dyDescent="0.25">
      <c r="A36" s="10" t="s">
        <v>332</v>
      </c>
      <c r="B36" s="11" t="s">
        <v>138</v>
      </c>
      <c r="C36" s="10" t="s">
        <v>285</v>
      </c>
      <c r="D36" s="10" t="s">
        <v>52</v>
      </c>
      <c r="E36" s="12">
        <v>29591</v>
      </c>
      <c r="F36" s="13">
        <v>130959</v>
      </c>
      <c r="G36" s="13">
        <v>100867</v>
      </c>
      <c r="H36" s="18">
        <f t="shared" si="0"/>
        <v>30092</v>
      </c>
      <c r="I36" s="14">
        <v>-0.22978184011789901</v>
      </c>
      <c r="J36" s="16" t="s">
        <v>23</v>
      </c>
      <c r="O36" s="15" t="s">
        <v>13</v>
      </c>
      <c r="Q36" s="17" t="s">
        <v>333</v>
      </c>
      <c r="R36" s="13">
        <v>-3900</v>
      </c>
      <c r="S36" s="1"/>
    </row>
    <row r="37" spans="1:19" hidden="1" x14ac:dyDescent="0.25">
      <c r="A37" s="10" t="s">
        <v>334</v>
      </c>
      <c r="B37" s="11" t="s">
        <v>138</v>
      </c>
      <c r="C37" s="10" t="s">
        <v>285</v>
      </c>
      <c r="D37" s="10" t="s">
        <v>19</v>
      </c>
      <c r="E37" s="12">
        <v>56208</v>
      </c>
      <c r="F37" s="13">
        <v>130959</v>
      </c>
      <c r="G37" s="13">
        <v>104400</v>
      </c>
      <c r="H37" s="18">
        <f t="shared" si="0"/>
        <v>26559</v>
      </c>
      <c r="I37" s="14">
        <v>-0.202803931001306</v>
      </c>
      <c r="J37" s="16" t="s">
        <v>20</v>
      </c>
      <c r="O37" s="15" t="s">
        <v>13</v>
      </c>
      <c r="Q37" s="17" t="s">
        <v>335</v>
      </c>
      <c r="R37" s="13">
        <v>-13602</v>
      </c>
      <c r="S37" s="1"/>
    </row>
    <row r="38" spans="1:19" hidden="1" x14ac:dyDescent="0.25">
      <c r="A38" s="10" t="s">
        <v>393</v>
      </c>
      <c r="B38" s="11" t="s">
        <v>138</v>
      </c>
      <c r="C38" s="10" t="s">
        <v>18</v>
      </c>
      <c r="D38" s="10" t="s">
        <v>12</v>
      </c>
      <c r="E38" s="12">
        <v>35029</v>
      </c>
      <c r="F38" s="13">
        <v>138627</v>
      </c>
      <c r="G38" s="13">
        <v>108900</v>
      </c>
      <c r="H38" s="18">
        <f t="shared" si="0"/>
        <v>29727</v>
      </c>
      <c r="I38" s="14">
        <v>-0.21443874569888999</v>
      </c>
      <c r="J38" s="16" t="s">
        <v>23</v>
      </c>
      <c r="O38" s="15" t="s">
        <v>13</v>
      </c>
      <c r="Q38" s="17" t="s">
        <v>394</v>
      </c>
      <c r="R38" s="13">
        <v>-6755</v>
      </c>
      <c r="S38" s="1"/>
    </row>
    <row r="39" spans="1:19" hidden="1" x14ac:dyDescent="0.25">
      <c r="A39" s="10" t="s">
        <v>712</v>
      </c>
      <c r="B39" s="11" t="s">
        <v>713</v>
      </c>
      <c r="C39" s="10" t="s">
        <v>18</v>
      </c>
      <c r="D39" s="10" t="s">
        <v>12</v>
      </c>
      <c r="E39" s="12">
        <v>61273</v>
      </c>
      <c r="F39" s="13">
        <v>161688</v>
      </c>
      <c r="G39" s="13">
        <v>145600</v>
      </c>
      <c r="H39" s="18">
        <f t="shared" si="0"/>
        <v>16088</v>
      </c>
      <c r="I39" s="14">
        <v>-9.9500272129038697E-2</v>
      </c>
      <c r="J39" s="16" t="s">
        <v>20</v>
      </c>
      <c r="O39" s="15" t="s">
        <v>653</v>
      </c>
      <c r="Q39" s="17" t="s">
        <v>714</v>
      </c>
      <c r="R39" s="13">
        <v>0</v>
      </c>
      <c r="S39" s="1"/>
    </row>
    <row r="40" spans="1:19" hidden="1" x14ac:dyDescent="0.25">
      <c r="A40" s="10" t="s">
        <v>636</v>
      </c>
      <c r="B40" s="11" t="s">
        <v>637</v>
      </c>
      <c r="C40" s="10" t="s">
        <v>45</v>
      </c>
      <c r="D40" s="10" t="s">
        <v>19</v>
      </c>
      <c r="E40" s="12">
        <v>1</v>
      </c>
      <c r="F40" s="13">
        <v>167796</v>
      </c>
      <c r="G40" s="13">
        <v>146900</v>
      </c>
      <c r="H40" s="18">
        <f t="shared" si="0"/>
        <v>20896</v>
      </c>
      <c r="I40" s="14">
        <v>-0.124532170015972</v>
      </c>
      <c r="J40" s="16" t="s">
        <v>21</v>
      </c>
      <c r="O40" s="15" t="s">
        <v>13</v>
      </c>
      <c r="Q40" s="17" t="s">
        <v>21</v>
      </c>
      <c r="R40" s="13">
        <v>-12833</v>
      </c>
      <c r="S40" s="1"/>
    </row>
    <row r="41" spans="1:19" hidden="1" x14ac:dyDescent="0.25">
      <c r="A41" s="10" t="s">
        <v>603</v>
      </c>
      <c r="B41" s="11" t="s">
        <v>604</v>
      </c>
      <c r="C41" s="10" t="s">
        <v>45</v>
      </c>
      <c r="D41" s="10" t="s">
        <v>52</v>
      </c>
      <c r="E41" s="12">
        <v>55721</v>
      </c>
      <c r="F41" s="13">
        <v>107692</v>
      </c>
      <c r="G41" s="13">
        <v>89400</v>
      </c>
      <c r="H41" s="18">
        <f t="shared" si="0"/>
        <v>18292</v>
      </c>
      <c r="I41" s="14">
        <v>-0.169854771013631</v>
      </c>
      <c r="J41" s="16" t="s">
        <v>23</v>
      </c>
      <c r="O41" s="15" t="s">
        <v>13</v>
      </c>
      <c r="Q41" s="17" t="s">
        <v>605</v>
      </c>
      <c r="R41" s="13">
        <v>0</v>
      </c>
      <c r="S41" s="1"/>
    </row>
    <row r="42" spans="1:19" hidden="1" x14ac:dyDescent="0.25">
      <c r="A42" s="10" t="s">
        <v>606</v>
      </c>
      <c r="B42" s="11" t="s">
        <v>604</v>
      </c>
      <c r="C42" s="10" t="s">
        <v>45</v>
      </c>
      <c r="D42" s="10" t="s">
        <v>12</v>
      </c>
      <c r="E42" s="12">
        <v>58793</v>
      </c>
      <c r="F42" s="13">
        <v>107692</v>
      </c>
      <c r="G42" s="13">
        <v>85900</v>
      </c>
      <c r="H42" s="18">
        <f t="shared" si="0"/>
        <v>21792</v>
      </c>
      <c r="I42" s="14">
        <v>-0.20235486387104001</v>
      </c>
      <c r="J42" s="16" t="s">
        <v>23</v>
      </c>
      <c r="O42" s="15" t="s">
        <v>13</v>
      </c>
      <c r="Q42" s="17" t="s">
        <v>607</v>
      </c>
      <c r="R42" s="13">
        <v>-3570</v>
      </c>
      <c r="S42" s="1"/>
    </row>
    <row r="43" spans="1:19" hidden="1" x14ac:dyDescent="0.25">
      <c r="A43" s="10" t="s">
        <v>413</v>
      </c>
      <c r="B43" s="11" t="s">
        <v>414</v>
      </c>
      <c r="C43" s="10" t="s">
        <v>18</v>
      </c>
      <c r="D43" s="10" t="s">
        <v>12</v>
      </c>
      <c r="E43" s="12">
        <v>39704</v>
      </c>
      <c r="F43" s="13">
        <v>110880</v>
      </c>
      <c r="G43" s="13">
        <v>86600</v>
      </c>
      <c r="H43" s="18">
        <f t="shared" si="0"/>
        <v>24280</v>
      </c>
      <c r="I43" s="14">
        <v>-0.21897546897546899</v>
      </c>
      <c r="J43" s="16" t="s">
        <v>23</v>
      </c>
      <c r="O43" s="15" t="s">
        <v>13</v>
      </c>
      <c r="Q43" s="17" t="s">
        <v>415</v>
      </c>
      <c r="R43" s="13">
        <v>-8685</v>
      </c>
      <c r="S43" s="1"/>
    </row>
    <row r="44" spans="1:19" hidden="1" x14ac:dyDescent="0.25">
      <c r="A44" s="10" t="s">
        <v>24</v>
      </c>
      <c r="B44" s="11" t="s">
        <v>25</v>
      </c>
      <c r="C44" s="10" t="s">
        <v>18</v>
      </c>
      <c r="D44" s="10" t="s">
        <v>26</v>
      </c>
      <c r="E44" s="12">
        <v>62396</v>
      </c>
      <c r="F44" s="13">
        <v>74142</v>
      </c>
      <c r="G44" s="13">
        <v>60300</v>
      </c>
      <c r="H44" s="18">
        <f t="shared" si="0"/>
        <v>13842</v>
      </c>
      <c r="I44" s="14">
        <v>-0.186695799951444</v>
      </c>
      <c r="J44" s="16" t="s">
        <v>20</v>
      </c>
      <c r="O44" s="15" t="s">
        <v>13</v>
      </c>
      <c r="Q44" s="17" t="s">
        <v>27</v>
      </c>
      <c r="R44" s="13">
        <v>-4553</v>
      </c>
      <c r="S44" s="1"/>
    </row>
    <row r="45" spans="1:19" hidden="1" x14ac:dyDescent="0.25">
      <c r="A45" s="10" t="s">
        <v>422</v>
      </c>
      <c r="B45" s="11" t="s">
        <v>25</v>
      </c>
      <c r="C45" s="10" t="s">
        <v>18</v>
      </c>
      <c r="D45" s="10" t="s">
        <v>19</v>
      </c>
      <c r="E45" s="12">
        <v>93125</v>
      </c>
      <c r="F45" s="13">
        <v>74142</v>
      </c>
      <c r="G45" s="13">
        <v>68200</v>
      </c>
      <c r="H45" s="18">
        <f t="shared" si="0"/>
        <v>5942</v>
      </c>
      <c r="I45" s="14">
        <v>-8.0143508402794605E-2</v>
      </c>
      <c r="J45" s="16" t="s">
        <v>21</v>
      </c>
      <c r="O45" s="15" t="s">
        <v>13</v>
      </c>
      <c r="Q45" s="17" t="s">
        <v>21</v>
      </c>
      <c r="R45" s="13">
        <v>0</v>
      </c>
      <c r="S45" s="1"/>
    </row>
    <row r="46" spans="1:19" x14ac:dyDescent="0.25">
      <c r="A46" s="10" t="s">
        <v>577</v>
      </c>
      <c r="B46" s="11" t="s">
        <v>25</v>
      </c>
      <c r="C46" s="10" t="s">
        <v>35</v>
      </c>
      <c r="D46" s="10" t="s">
        <v>19</v>
      </c>
      <c r="E46" s="12">
        <v>94237</v>
      </c>
      <c r="F46" s="13">
        <v>74142</v>
      </c>
      <c r="G46" s="13">
        <v>62000</v>
      </c>
      <c r="H46" s="18">
        <f t="shared" si="0"/>
        <v>12142</v>
      </c>
      <c r="I46" s="14">
        <v>-0.163766825820722</v>
      </c>
      <c r="J46" s="16" t="s">
        <v>23</v>
      </c>
      <c r="O46" s="15"/>
      <c r="Q46" s="17"/>
      <c r="R46" s="13"/>
      <c r="S46" s="1"/>
    </row>
    <row r="47" spans="1:19" hidden="1" x14ac:dyDescent="0.25">
      <c r="A47" s="10" t="s">
        <v>692</v>
      </c>
      <c r="B47" s="11" t="s">
        <v>25</v>
      </c>
      <c r="C47" s="10" t="s">
        <v>18</v>
      </c>
      <c r="D47" s="10" t="s">
        <v>52</v>
      </c>
      <c r="E47" s="12">
        <v>65844</v>
      </c>
      <c r="F47" s="13">
        <v>74142</v>
      </c>
      <c r="G47" s="13">
        <v>68300</v>
      </c>
      <c r="H47" s="18">
        <f t="shared" si="0"/>
        <v>5842</v>
      </c>
      <c r="I47" s="14">
        <v>-7.8794745218634499E-2</v>
      </c>
      <c r="J47" s="16" t="s">
        <v>14</v>
      </c>
      <c r="O47" s="15" t="s">
        <v>653</v>
      </c>
      <c r="Q47" s="17" t="s">
        <v>693</v>
      </c>
      <c r="R47" s="13">
        <v>0</v>
      </c>
      <c r="S47" s="1"/>
    </row>
    <row r="48" spans="1:19" x14ac:dyDescent="0.25">
      <c r="A48" s="10" t="s">
        <v>622</v>
      </c>
      <c r="B48" s="11" t="s">
        <v>623</v>
      </c>
      <c r="C48" s="10" t="s">
        <v>45</v>
      </c>
      <c r="D48" s="10" t="s">
        <v>12</v>
      </c>
      <c r="E48" s="12">
        <v>91000</v>
      </c>
      <c r="F48" s="13">
        <v>86069</v>
      </c>
      <c r="G48" s="13">
        <v>76600</v>
      </c>
      <c r="H48" s="18">
        <f t="shared" si="0"/>
        <v>9469</v>
      </c>
      <c r="I48" s="14">
        <v>-0.11001638220497501</v>
      </c>
      <c r="J48" s="16" t="s">
        <v>21</v>
      </c>
      <c r="O48" s="15"/>
      <c r="Q48" s="17"/>
      <c r="R48" s="13"/>
      <c r="S48" s="1"/>
    </row>
    <row r="49" spans="1:19" hidden="1" x14ac:dyDescent="0.25">
      <c r="A49" s="10" t="s">
        <v>139</v>
      </c>
      <c r="B49" s="11" t="s">
        <v>140</v>
      </c>
      <c r="C49" s="10" t="s">
        <v>30</v>
      </c>
      <c r="D49" s="10" t="s">
        <v>19</v>
      </c>
      <c r="E49" s="12">
        <v>108370</v>
      </c>
      <c r="F49" s="13">
        <v>79490</v>
      </c>
      <c r="G49" s="13">
        <v>61100</v>
      </c>
      <c r="H49" s="18">
        <f t="shared" si="0"/>
        <v>18390</v>
      </c>
      <c r="I49" s="14">
        <v>-0.23134985532771399</v>
      </c>
      <c r="J49" s="16" t="s">
        <v>23</v>
      </c>
      <c r="O49" s="15" t="s">
        <v>13</v>
      </c>
      <c r="Q49" s="17" t="s">
        <v>141</v>
      </c>
      <c r="R49" s="13">
        <v>-5700</v>
      </c>
      <c r="S49" s="1"/>
    </row>
    <row r="50" spans="1:19" hidden="1" x14ac:dyDescent="0.25">
      <c r="A50" s="10" t="s">
        <v>142</v>
      </c>
      <c r="B50" s="11" t="s">
        <v>140</v>
      </c>
      <c r="C50" s="10" t="s">
        <v>30</v>
      </c>
      <c r="D50" s="10" t="s">
        <v>19</v>
      </c>
      <c r="E50" s="12">
        <v>159742</v>
      </c>
      <c r="F50" s="13">
        <v>79490</v>
      </c>
      <c r="G50" s="13">
        <v>60500</v>
      </c>
      <c r="H50" s="18">
        <f t="shared" si="0"/>
        <v>18990</v>
      </c>
      <c r="I50" s="14">
        <v>-0.238897974587998</v>
      </c>
      <c r="J50" s="16" t="s">
        <v>14</v>
      </c>
      <c r="O50" s="15" t="s">
        <v>13</v>
      </c>
      <c r="Q50" s="17" t="s">
        <v>143</v>
      </c>
      <c r="R50" s="13">
        <v>-6390</v>
      </c>
      <c r="S50" s="1"/>
    </row>
    <row r="51" spans="1:19" hidden="1" x14ac:dyDescent="0.25">
      <c r="A51" s="10" t="s">
        <v>149</v>
      </c>
      <c r="B51" s="11" t="s">
        <v>140</v>
      </c>
      <c r="C51" s="10" t="s">
        <v>30</v>
      </c>
      <c r="D51" s="10" t="s">
        <v>19</v>
      </c>
      <c r="E51" s="12">
        <v>85409</v>
      </c>
      <c r="F51" s="13">
        <v>79490</v>
      </c>
      <c r="G51" s="13">
        <v>66500</v>
      </c>
      <c r="H51" s="18">
        <f t="shared" si="0"/>
        <v>12990</v>
      </c>
      <c r="I51" s="14">
        <v>-0.163416781985155</v>
      </c>
      <c r="J51" s="16" t="s">
        <v>23</v>
      </c>
      <c r="O51" s="15" t="s">
        <v>13</v>
      </c>
      <c r="Q51" s="17" t="s">
        <v>150</v>
      </c>
      <c r="R51" s="13">
        <v>0</v>
      </c>
      <c r="S51" s="1"/>
    </row>
    <row r="52" spans="1:19" hidden="1" x14ac:dyDescent="0.25">
      <c r="A52" s="10" t="s">
        <v>157</v>
      </c>
      <c r="B52" s="11" t="s">
        <v>140</v>
      </c>
      <c r="C52" s="10" t="s">
        <v>42</v>
      </c>
      <c r="D52" s="10" t="s">
        <v>19</v>
      </c>
      <c r="E52" s="12">
        <v>414821</v>
      </c>
      <c r="F52" s="13">
        <v>81692</v>
      </c>
      <c r="G52" s="13">
        <v>70400</v>
      </c>
      <c r="H52" s="18">
        <f t="shared" si="0"/>
        <v>11292</v>
      </c>
      <c r="I52" s="14">
        <v>-0.13822650932771899</v>
      </c>
      <c r="J52" s="16" t="s">
        <v>21</v>
      </c>
      <c r="O52" s="15" t="s">
        <v>13</v>
      </c>
      <c r="Q52" s="17" t="s">
        <v>21</v>
      </c>
      <c r="R52" s="13">
        <v>0</v>
      </c>
      <c r="S52" s="1"/>
    </row>
    <row r="53" spans="1:19" hidden="1" x14ac:dyDescent="0.25">
      <c r="A53" s="10" t="s">
        <v>173</v>
      </c>
      <c r="B53" s="11" t="s">
        <v>140</v>
      </c>
      <c r="C53" s="10" t="s">
        <v>42</v>
      </c>
      <c r="D53" s="10" t="s">
        <v>19</v>
      </c>
      <c r="E53" s="12">
        <v>109987</v>
      </c>
      <c r="F53" s="13">
        <v>81692</v>
      </c>
      <c r="G53" s="13">
        <v>64000</v>
      </c>
      <c r="H53" s="18">
        <f t="shared" si="0"/>
        <v>17692</v>
      </c>
      <c r="I53" s="14">
        <v>-0.21656955393429</v>
      </c>
      <c r="J53" s="16" t="s">
        <v>14</v>
      </c>
      <c r="O53" s="15" t="s">
        <v>13</v>
      </c>
      <c r="Q53" s="17" t="s">
        <v>174</v>
      </c>
      <c r="R53" s="13">
        <v>-4380</v>
      </c>
      <c r="S53" s="1"/>
    </row>
    <row r="54" spans="1:19" hidden="1" x14ac:dyDescent="0.25">
      <c r="A54" s="10" t="s">
        <v>195</v>
      </c>
      <c r="B54" s="11" t="s">
        <v>140</v>
      </c>
      <c r="C54" s="10" t="s">
        <v>42</v>
      </c>
      <c r="D54" s="10" t="s">
        <v>19</v>
      </c>
      <c r="E54" s="12">
        <v>119832</v>
      </c>
      <c r="F54" s="13">
        <v>81692</v>
      </c>
      <c r="G54" s="13">
        <v>72600</v>
      </c>
      <c r="H54" s="18">
        <f t="shared" si="0"/>
        <v>9092</v>
      </c>
      <c r="I54" s="14">
        <v>-0.11129608774421</v>
      </c>
      <c r="J54" s="16" t="s">
        <v>21</v>
      </c>
      <c r="O54" s="15" t="s">
        <v>13</v>
      </c>
      <c r="Q54" s="17" t="s">
        <v>21</v>
      </c>
      <c r="R54" s="13">
        <v>0</v>
      </c>
      <c r="S54" s="1"/>
    </row>
    <row r="55" spans="1:19" hidden="1" x14ac:dyDescent="0.25">
      <c r="A55" s="10" t="s">
        <v>196</v>
      </c>
      <c r="B55" s="11" t="s">
        <v>140</v>
      </c>
      <c r="C55" s="10" t="s">
        <v>42</v>
      </c>
      <c r="D55" s="10" t="s">
        <v>19</v>
      </c>
      <c r="E55" s="12">
        <v>53611</v>
      </c>
      <c r="F55" s="13">
        <v>81692</v>
      </c>
      <c r="G55" s="13">
        <v>67200</v>
      </c>
      <c r="H55" s="18">
        <f t="shared" si="0"/>
        <v>14492</v>
      </c>
      <c r="I55" s="14">
        <v>-0.17739803163100401</v>
      </c>
      <c r="J55" s="16" t="s">
        <v>20</v>
      </c>
      <c r="O55" s="15" t="s">
        <v>13</v>
      </c>
      <c r="Q55" s="17" t="s">
        <v>197</v>
      </c>
      <c r="R55" s="13">
        <v>-6167</v>
      </c>
      <c r="S55" s="1"/>
    </row>
    <row r="56" spans="1:19" hidden="1" x14ac:dyDescent="0.25">
      <c r="A56" s="10" t="s">
        <v>198</v>
      </c>
      <c r="B56" s="11" t="s">
        <v>140</v>
      </c>
      <c r="C56" s="10" t="s">
        <v>42</v>
      </c>
      <c r="D56" s="10" t="s">
        <v>19</v>
      </c>
      <c r="E56" s="12">
        <v>94867</v>
      </c>
      <c r="F56" s="13">
        <v>81692</v>
      </c>
      <c r="G56" s="13">
        <v>66700</v>
      </c>
      <c r="H56" s="18">
        <f t="shared" si="0"/>
        <v>14992</v>
      </c>
      <c r="I56" s="14">
        <v>-0.18351858199089299</v>
      </c>
      <c r="J56" s="16" t="s">
        <v>20</v>
      </c>
      <c r="O56" s="15" t="s">
        <v>13</v>
      </c>
      <c r="Q56" s="17" t="s">
        <v>199</v>
      </c>
      <c r="R56" s="13">
        <v>-5250</v>
      </c>
      <c r="S56" s="1"/>
    </row>
    <row r="57" spans="1:19" hidden="1" x14ac:dyDescent="0.25">
      <c r="A57" s="10" t="s">
        <v>200</v>
      </c>
      <c r="B57" s="11" t="s">
        <v>140</v>
      </c>
      <c r="C57" s="10" t="s">
        <v>42</v>
      </c>
      <c r="D57" s="10" t="s">
        <v>19</v>
      </c>
      <c r="E57" s="12">
        <v>54744</v>
      </c>
      <c r="F57" s="13">
        <v>81692</v>
      </c>
      <c r="G57" s="13">
        <v>66600</v>
      </c>
      <c r="H57" s="18">
        <f t="shared" si="0"/>
        <v>15092</v>
      </c>
      <c r="I57" s="14">
        <v>-0.18474269206287</v>
      </c>
      <c r="J57" s="16" t="s">
        <v>20</v>
      </c>
      <c r="O57" s="15" t="s">
        <v>13</v>
      </c>
      <c r="Q57" s="17" t="s">
        <v>201</v>
      </c>
      <c r="R57" s="13">
        <v>-8993</v>
      </c>
      <c r="S57" s="1"/>
    </row>
    <row r="58" spans="1:19" hidden="1" x14ac:dyDescent="0.25">
      <c r="A58" s="10" t="s">
        <v>202</v>
      </c>
      <c r="B58" s="11" t="s">
        <v>140</v>
      </c>
      <c r="C58" s="10" t="s">
        <v>42</v>
      </c>
      <c r="D58" s="10" t="s">
        <v>19</v>
      </c>
      <c r="E58" s="12">
        <v>106559</v>
      </c>
      <c r="F58" s="13">
        <v>81692</v>
      </c>
      <c r="G58" s="13">
        <v>65600</v>
      </c>
      <c r="H58" s="18">
        <f t="shared" si="0"/>
        <v>16092</v>
      </c>
      <c r="I58" s="14">
        <v>-0.19698379278264699</v>
      </c>
      <c r="J58" s="16" t="s">
        <v>20</v>
      </c>
      <c r="O58" s="15" t="s">
        <v>13</v>
      </c>
      <c r="Q58" s="17" t="s">
        <v>203</v>
      </c>
      <c r="R58" s="13">
        <v>-5955</v>
      </c>
      <c r="S58" s="1"/>
    </row>
    <row r="59" spans="1:19" hidden="1" x14ac:dyDescent="0.25">
      <c r="A59" s="10" t="s">
        <v>204</v>
      </c>
      <c r="B59" s="11" t="s">
        <v>140</v>
      </c>
      <c r="C59" s="10" t="s">
        <v>42</v>
      </c>
      <c r="D59" s="10" t="s">
        <v>19</v>
      </c>
      <c r="E59" s="12">
        <v>63205</v>
      </c>
      <c r="F59" s="13">
        <v>81692</v>
      </c>
      <c r="G59" s="13">
        <v>65500</v>
      </c>
      <c r="H59" s="18">
        <f t="shared" si="0"/>
        <v>16192</v>
      </c>
      <c r="I59" s="14">
        <v>-0.198207902854625</v>
      </c>
      <c r="J59" s="16" t="s">
        <v>21</v>
      </c>
      <c r="O59" s="15" t="s">
        <v>13</v>
      </c>
      <c r="Q59" s="17" t="s">
        <v>21</v>
      </c>
      <c r="R59" s="13">
        <v>-8246</v>
      </c>
      <c r="S59" s="1"/>
    </row>
    <row r="60" spans="1:19" hidden="1" x14ac:dyDescent="0.25">
      <c r="A60" s="10" t="s">
        <v>205</v>
      </c>
      <c r="B60" s="11" t="s">
        <v>140</v>
      </c>
      <c r="C60" s="10" t="s">
        <v>42</v>
      </c>
      <c r="D60" s="10" t="s">
        <v>19</v>
      </c>
      <c r="E60" s="12">
        <v>77073</v>
      </c>
      <c r="F60" s="13">
        <v>81692</v>
      </c>
      <c r="G60" s="13">
        <v>65200</v>
      </c>
      <c r="H60" s="18">
        <f t="shared" si="0"/>
        <v>16492</v>
      </c>
      <c r="I60" s="14">
        <v>-0.201880233070558</v>
      </c>
      <c r="J60" s="16" t="s">
        <v>20</v>
      </c>
      <c r="O60" s="15" t="s">
        <v>13</v>
      </c>
      <c r="Q60" s="17" t="s">
        <v>206</v>
      </c>
      <c r="R60" s="13">
        <v>-7794</v>
      </c>
      <c r="S60" s="1"/>
    </row>
    <row r="61" spans="1:19" hidden="1" x14ac:dyDescent="0.25">
      <c r="A61" s="10" t="s">
        <v>207</v>
      </c>
      <c r="B61" s="11" t="s">
        <v>140</v>
      </c>
      <c r="C61" s="10" t="s">
        <v>42</v>
      </c>
      <c r="D61" s="10" t="s">
        <v>19</v>
      </c>
      <c r="E61" s="12">
        <v>146728</v>
      </c>
      <c r="F61" s="13">
        <v>81692</v>
      </c>
      <c r="G61" s="13">
        <v>63400</v>
      </c>
      <c r="H61" s="18">
        <f t="shared" si="0"/>
        <v>18292</v>
      </c>
      <c r="I61" s="14">
        <v>-0.22391421436615599</v>
      </c>
      <c r="J61" s="16" t="s">
        <v>14</v>
      </c>
      <c r="O61" s="15" t="s">
        <v>13</v>
      </c>
      <c r="Q61" s="17" t="s">
        <v>208</v>
      </c>
      <c r="R61" s="13">
        <v>-4260</v>
      </c>
      <c r="S61" s="1"/>
    </row>
    <row r="62" spans="1:19" hidden="1" x14ac:dyDescent="0.25">
      <c r="A62" s="10" t="s">
        <v>209</v>
      </c>
      <c r="B62" s="11" t="s">
        <v>140</v>
      </c>
      <c r="C62" s="10" t="s">
        <v>42</v>
      </c>
      <c r="D62" s="10" t="s">
        <v>19</v>
      </c>
      <c r="E62" s="12">
        <v>136019</v>
      </c>
      <c r="F62" s="13">
        <v>81692</v>
      </c>
      <c r="G62" s="13">
        <v>63100</v>
      </c>
      <c r="H62" s="18">
        <f t="shared" si="0"/>
        <v>18592</v>
      </c>
      <c r="I62" s="14">
        <v>-0.22758654458208899</v>
      </c>
      <c r="J62" s="16" t="s">
        <v>14</v>
      </c>
      <c r="O62" s="15" t="s">
        <v>13</v>
      </c>
      <c r="Q62" s="17" t="s">
        <v>210</v>
      </c>
      <c r="R62" s="13">
        <v>-4605</v>
      </c>
      <c r="S62" s="1"/>
    </row>
    <row r="63" spans="1:19" hidden="1" x14ac:dyDescent="0.25">
      <c r="A63" s="10" t="s">
        <v>211</v>
      </c>
      <c r="B63" s="11" t="s">
        <v>140</v>
      </c>
      <c r="C63" s="10" t="s">
        <v>42</v>
      </c>
      <c r="D63" s="10" t="s">
        <v>19</v>
      </c>
      <c r="E63" s="12">
        <v>87444</v>
      </c>
      <c r="F63" s="13">
        <v>81692</v>
      </c>
      <c r="G63" s="13">
        <v>61200</v>
      </c>
      <c r="H63" s="18">
        <f t="shared" si="0"/>
        <v>20492</v>
      </c>
      <c r="I63" s="14">
        <v>-0.250844635949665</v>
      </c>
      <c r="J63" s="16" t="s">
        <v>23</v>
      </c>
      <c r="O63" s="15" t="s">
        <v>13</v>
      </c>
      <c r="Q63" s="17" t="s">
        <v>212</v>
      </c>
      <c r="R63" s="13">
        <v>-8415</v>
      </c>
      <c r="S63" s="1"/>
    </row>
    <row r="64" spans="1:19" hidden="1" x14ac:dyDescent="0.25">
      <c r="A64" s="10" t="s">
        <v>213</v>
      </c>
      <c r="B64" s="11" t="s">
        <v>140</v>
      </c>
      <c r="C64" s="10" t="s">
        <v>42</v>
      </c>
      <c r="D64" s="10" t="s">
        <v>19</v>
      </c>
      <c r="E64" s="12">
        <v>135700</v>
      </c>
      <c r="F64" s="13">
        <v>81692</v>
      </c>
      <c r="G64" s="13">
        <v>59800</v>
      </c>
      <c r="H64" s="18">
        <f t="shared" si="0"/>
        <v>21892</v>
      </c>
      <c r="I64" s="14">
        <v>-0.26798217695735199</v>
      </c>
      <c r="J64" s="16" t="s">
        <v>14</v>
      </c>
      <c r="O64" s="15" t="s">
        <v>13</v>
      </c>
      <c r="Q64" s="17" t="s">
        <v>214</v>
      </c>
      <c r="R64" s="13">
        <v>-7935</v>
      </c>
      <c r="S64" s="1"/>
    </row>
    <row r="65" spans="1:19" hidden="1" x14ac:dyDescent="0.25">
      <c r="A65" s="10" t="s">
        <v>215</v>
      </c>
      <c r="B65" s="11" t="s">
        <v>140</v>
      </c>
      <c r="C65" s="10" t="s">
        <v>42</v>
      </c>
      <c r="D65" s="10" t="s">
        <v>19</v>
      </c>
      <c r="E65" s="12">
        <v>113930</v>
      </c>
      <c r="F65" s="13">
        <v>81692</v>
      </c>
      <c r="G65" s="13">
        <v>56200</v>
      </c>
      <c r="H65" s="18">
        <f t="shared" si="0"/>
        <v>25492</v>
      </c>
      <c r="I65" s="14">
        <v>-0.31205013954854799</v>
      </c>
      <c r="J65" s="16" t="s">
        <v>23</v>
      </c>
      <c r="O65" s="15" t="s">
        <v>13</v>
      </c>
      <c r="Q65" s="17" t="s">
        <v>216</v>
      </c>
      <c r="R65" s="13">
        <v>-10121</v>
      </c>
      <c r="S65" s="1"/>
    </row>
    <row r="66" spans="1:19" hidden="1" x14ac:dyDescent="0.25">
      <c r="A66" s="10" t="s">
        <v>217</v>
      </c>
      <c r="B66" s="11" t="s">
        <v>140</v>
      </c>
      <c r="C66" s="10" t="s">
        <v>42</v>
      </c>
      <c r="D66" s="10" t="s">
        <v>19</v>
      </c>
      <c r="E66" s="12">
        <v>160383</v>
      </c>
      <c r="F66" s="13">
        <v>81692</v>
      </c>
      <c r="G66" s="13">
        <v>55800</v>
      </c>
      <c r="H66" s="18">
        <f t="shared" ref="H66:H129" si="1">F66-G66</f>
        <v>25892</v>
      </c>
      <c r="I66" s="14">
        <v>-0.31694657983645902</v>
      </c>
      <c r="J66" s="16" t="s">
        <v>23</v>
      </c>
      <c r="O66" s="15" t="s">
        <v>13</v>
      </c>
      <c r="Q66" s="17" t="s">
        <v>218</v>
      </c>
      <c r="R66" s="13">
        <v>-9135</v>
      </c>
      <c r="S66" s="1"/>
    </row>
    <row r="67" spans="1:19" hidden="1" x14ac:dyDescent="0.25">
      <c r="A67" s="10" t="s">
        <v>221</v>
      </c>
      <c r="B67" s="11" t="s">
        <v>140</v>
      </c>
      <c r="C67" s="10" t="s">
        <v>42</v>
      </c>
      <c r="D67" s="10" t="s">
        <v>19</v>
      </c>
      <c r="E67" s="12">
        <v>121487</v>
      </c>
      <c r="F67" s="13">
        <v>81692</v>
      </c>
      <c r="G67" s="13">
        <v>72600</v>
      </c>
      <c r="H67" s="18">
        <f t="shared" si="1"/>
        <v>9092</v>
      </c>
      <c r="I67" s="14">
        <v>-0.11129608774421</v>
      </c>
      <c r="J67" s="16" t="s">
        <v>21</v>
      </c>
      <c r="O67" s="15" t="s">
        <v>13</v>
      </c>
      <c r="Q67" s="17" t="s">
        <v>21</v>
      </c>
      <c r="R67" s="13">
        <v>0</v>
      </c>
      <c r="S67" s="1"/>
    </row>
    <row r="68" spans="1:19" hidden="1" x14ac:dyDescent="0.25">
      <c r="A68" s="10" t="s">
        <v>222</v>
      </c>
      <c r="B68" s="11" t="s">
        <v>140</v>
      </c>
      <c r="C68" s="10" t="s">
        <v>42</v>
      </c>
      <c r="D68" s="10" t="s">
        <v>19</v>
      </c>
      <c r="E68" s="12">
        <v>120881</v>
      </c>
      <c r="F68" s="13">
        <v>81692</v>
      </c>
      <c r="G68" s="13">
        <v>69200</v>
      </c>
      <c r="H68" s="18">
        <f t="shared" si="1"/>
        <v>12492</v>
      </c>
      <c r="I68" s="14">
        <v>-0.152915830191451</v>
      </c>
      <c r="J68" s="16" t="s">
        <v>20</v>
      </c>
      <c r="O68" s="15" t="s">
        <v>13</v>
      </c>
      <c r="Q68" s="17" t="s">
        <v>223</v>
      </c>
      <c r="R68" s="13">
        <v>-2370</v>
      </c>
      <c r="S68" s="1"/>
    </row>
    <row r="69" spans="1:19" hidden="1" x14ac:dyDescent="0.25">
      <c r="A69" s="10" t="s">
        <v>224</v>
      </c>
      <c r="B69" s="11" t="s">
        <v>140</v>
      </c>
      <c r="C69" s="10" t="s">
        <v>42</v>
      </c>
      <c r="D69" s="10" t="s">
        <v>19</v>
      </c>
      <c r="E69" s="12">
        <v>93008</v>
      </c>
      <c r="F69" s="13">
        <v>81692</v>
      </c>
      <c r="G69" s="13">
        <v>66800</v>
      </c>
      <c r="H69" s="18">
        <f t="shared" si="1"/>
        <v>14892</v>
      </c>
      <c r="I69" s="14">
        <v>-0.18229447191891501</v>
      </c>
      <c r="J69" s="16" t="s">
        <v>20</v>
      </c>
      <c r="O69" s="15" t="s">
        <v>13</v>
      </c>
      <c r="Q69" s="17" t="s">
        <v>225</v>
      </c>
      <c r="R69" s="13">
        <v>-6210</v>
      </c>
      <c r="S69" s="1"/>
    </row>
    <row r="70" spans="1:19" hidden="1" x14ac:dyDescent="0.25">
      <c r="A70" s="10" t="s">
        <v>226</v>
      </c>
      <c r="B70" s="11" t="s">
        <v>140</v>
      </c>
      <c r="C70" s="10" t="s">
        <v>42</v>
      </c>
      <c r="D70" s="10" t="s">
        <v>19</v>
      </c>
      <c r="E70" s="12">
        <v>84506</v>
      </c>
      <c r="F70" s="13">
        <v>81692</v>
      </c>
      <c r="G70" s="13">
        <v>66800</v>
      </c>
      <c r="H70" s="18">
        <f t="shared" si="1"/>
        <v>14892</v>
      </c>
      <c r="I70" s="14">
        <v>-0.18229447191891501</v>
      </c>
      <c r="J70" s="16" t="s">
        <v>20</v>
      </c>
      <c r="O70" s="15" t="s">
        <v>13</v>
      </c>
      <c r="Q70" s="17" t="s">
        <v>227</v>
      </c>
      <c r="R70" s="13">
        <v>-6240</v>
      </c>
      <c r="S70" s="1"/>
    </row>
    <row r="71" spans="1:19" hidden="1" x14ac:dyDescent="0.25">
      <c r="A71" s="10" t="s">
        <v>228</v>
      </c>
      <c r="B71" s="11" t="s">
        <v>140</v>
      </c>
      <c r="C71" s="10" t="s">
        <v>42</v>
      </c>
      <c r="D71" s="10" t="s">
        <v>19</v>
      </c>
      <c r="E71" s="12">
        <v>113024</v>
      </c>
      <c r="F71" s="13">
        <v>81692</v>
      </c>
      <c r="G71" s="13">
        <v>66500</v>
      </c>
      <c r="H71" s="18">
        <f t="shared" si="1"/>
        <v>15192</v>
      </c>
      <c r="I71" s="14">
        <v>-0.18596680213484801</v>
      </c>
      <c r="J71" s="16" t="s">
        <v>20</v>
      </c>
      <c r="O71" s="15" t="s">
        <v>13</v>
      </c>
      <c r="Q71" s="17" t="s">
        <v>229</v>
      </c>
      <c r="R71" s="13">
        <v>-3990</v>
      </c>
      <c r="S71" s="1"/>
    </row>
    <row r="72" spans="1:19" hidden="1" x14ac:dyDescent="0.25">
      <c r="A72" s="10" t="s">
        <v>230</v>
      </c>
      <c r="B72" s="11" t="s">
        <v>140</v>
      </c>
      <c r="C72" s="10" t="s">
        <v>42</v>
      </c>
      <c r="D72" s="10" t="s">
        <v>19</v>
      </c>
      <c r="E72" s="12">
        <v>223921</v>
      </c>
      <c r="F72" s="13">
        <v>81692</v>
      </c>
      <c r="G72" s="13">
        <v>65600</v>
      </c>
      <c r="H72" s="18">
        <f t="shared" si="1"/>
        <v>16092</v>
      </c>
      <c r="I72" s="14">
        <v>-0.19698379278264699</v>
      </c>
      <c r="J72" s="16" t="s">
        <v>20</v>
      </c>
      <c r="O72" s="15" t="s">
        <v>13</v>
      </c>
      <c r="Q72" s="17" t="s">
        <v>231</v>
      </c>
      <c r="R72" s="13">
        <v>-2760</v>
      </c>
      <c r="S72" s="1"/>
    </row>
    <row r="73" spans="1:19" hidden="1" x14ac:dyDescent="0.25">
      <c r="A73" s="10" t="s">
        <v>232</v>
      </c>
      <c r="B73" s="11" t="s">
        <v>140</v>
      </c>
      <c r="C73" s="10" t="s">
        <v>42</v>
      </c>
      <c r="D73" s="10" t="s">
        <v>19</v>
      </c>
      <c r="E73" s="12">
        <v>96889</v>
      </c>
      <c r="F73" s="13">
        <v>81692</v>
      </c>
      <c r="G73" s="13">
        <v>65200</v>
      </c>
      <c r="H73" s="18">
        <f t="shared" si="1"/>
        <v>16492</v>
      </c>
      <c r="I73" s="14">
        <v>-0.201880233070558</v>
      </c>
      <c r="J73" s="16" t="s">
        <v>20</v>
      </c>
      <c r="O73" s="15" t="s">
        <v>13</v>
      </c>
      <c r="Q73" s="17" t="s">
        <v>233</v>
      </c>
      <c r="R73" s="13">
        <v>-6030</v>
      </c>
      <c r="S73" s="1"/>
    </row>
    <row r="74" spans="1:19" hidden="1" x14ac:dyDescent="0.25">
      <c r="A74" s="10" t="s">
        <v>234</v>
      </c>
      <c r="B74" s="11" t="s">
        <v>140</v>
      </c>
      <c r="C74" s="10" t="s">
        <v>42</v>
      </c>
      <c r="D74" s="10" t="s">
        <v>19</v>
      </c>
      <c r="E74" s="12">
        <v>156393</v>
      </c>
      <c r="F74" s="13">
        <v>81692</v>
      </c>
      <c r="G74" s="13">
        <v>65100</v>
      </c>
      <c r="H74" s="18">
        <f t="shared" si="1"/>
        <v>16592</v>
      </c>
      <c r="I74" s="14">
        <v>-0.203104343142535</v>
      </c>
      <c r="J74" s="16" t="s">
        <v>21</v>
      </c>
      <c r="O74" s="15" t="s">
        <v>13</v>
      </c>
      <c r="Q74" s="17" t="s">
        <v>21</v>
      </c>
      <c r="R74" s="13">
        <v>-6000</v>
      </c>
      <c r="S74" s="1"/>
    </row>
    <row r="75" spans="1:19" hidden="1" x14ac:dyDescent="0.25">
      <c r="A75" s="10" t="s">
        <v>235</v>
      </c>
      <c r="B75" s="11" t="s">
        <v>140</v>
      </c>
      <c r="C75" s="10" t="s">
        <v>42</v>
      </c>
      <c r="D75" s="10" t="s">
        <v>19</v>
      </c>
      <c r="E75" s="12">
        <v>81862</v>
      </c>
      <c r="F75" s="13">
        <v>81692</v>
      </c>
      <c r="G75" s="13">
        <v>64300</v>
      </c>
      <c r="H75" s="18">
        <f t="shared" si="1"/>
        <v>17392</v>
      </c>
      <c r="I75" s="14">
        <v>-0.21289722371835701</v>
      </c>
      <c r="J75" s="16" t="s">
        <v>14</v>
      </c>
      <c r="O75" s="15" t="s">
        <v>13</v>
      </c>
      <c r="Q75" s="17" t="s">
        <v>236</v>
      </c>
      <c r="R75" s="13">
        <v>-5445</v>
      </c>
      <c r="S75" s="1"/>
    </row>
    <row r="76" spans="1:19" hidden="1" x14ac:dyDescent="0.25">
      <c r="A76" s="10" t="s">
        <v>237</v>
      </c>
      <c r="B76" s="11" t="s">
        <v>140</v>
      </c>
      <c r="C76" s="10" t="s">
        <v>42</v>
      </c>
      <c r="D76" s="10" t="s">
        <v>19</v>
      </c>
      <c r="E76" s="12">
        <v>117776</v>
      </c>
      <c r="F76" s="13">
        <v>81692</v>
      </c>
      <c r="G76" s="13">
        <v>63600</v>
      </c>
      <c r="H76" s="18">
        <f t="shared" si="1"/>
        <v>18092</v>
      </c>
      <c r="I76" s="14">
        <v>-0.22146599422220001</v>
      </c>
      <c r="J76" s="16" t="s">
        <v>14</v>
      </c>
      <c r="O76" s="15" t="s">
        <v>13</v>
      </c>
      <c r="Q76" s="17" t="s">
        <v>238</v>
      </c>
      <c r="R76" s="13">
        <v>-4755</v>
      </c>
      <c r="S76" s="1"/>
    </row>
    <row r="77" spans="1:19" hidden="1" x14ac:dyDescent="0.25">
      <c r="A77" s="10" t="s">
        <v>239</v>
      </c>
      <c r="B77" s="11" t="s">
        <v>140</v>
      </c>
      <c r="C77" s="10" t="s">
        <v>42</v>
      </c>
      <c r="D77" s="10" t="s">
        <v>19</v>
      </c>
      <c r="E77" s="12">
        <v>185141</v>
      </c>
      <c r="F77" s="13">
        <v>81692</v>
      </c>
      <c r="G77" s="13">
        <v>63200</v>
      </c>
      <c r="H77" s="18">
        <f t="shared" si="1"/>
        <v>18492</v>
      </c>
      <c r="I77" s="14">
        <v>-0.22636243451011101</v>
      </c>
      <c r="J77" s="16" t="s">
        <v>14</v>
      </c>
      <c r="O77" s="15" t="s">
        <v>13</v>
      </c>
      <c r="Q77" s="17" t="s">
        <v>240</v>
      </c>
      <c r="R77" s="13">
        <v>-4125</v>
      </c>
      <c r="S77" s="1"/>
    </row>
    <row r="78" spans="1:19" hidden="1" x14ac:dyDescent="0.25">
      <c r="A78" s="10" t="s">
        <v>241</v>
      </c>
      <c r="B78" s="11" t="s">
        <v>140</v>
      </c>
      <c r="C78" s="10" t="s">
        <v>42</v>
      </c>
      <c r="D78" s="10" t="s">
        <v>19</v>
      </c>
      <c r="E78" s="12">
        <v>109351</v>
      </c>
      <c r="F78" s="13">
        <v>81692</v>
      </c>
      <c r="G78" s="13">
        <v>62900</v>
      </c>
      <c r="H78" s="18">
        <f t="shared" si="1"/>
        <v>18792</v>
      </c>
      <c r="I78" s="14">
        <v>-0.23003476472604401</v>
      </c>
      <c r="J78" s="16" t="s">
        <v>20</v>
      </c>
      <c r="O78" s="15" t="s">
        <v>13</v>
      </c>
      <c r="Q78" s="17" t="s">
        <v>242</v>
      </c>
      <c r="R78" s="13">
        <v>-7635</v>
      </c>
      <c r="S78" s="1"/>
    </row>
    <row r="79" spans="1:19" hidden="1" x14ac:dyDescent="0.25">
      <c r="A79" s="10" t="s">
        <v>243</v>
      </c>
      <c r="B79" s="11" t="s">
        <v>140</v>
      </c>
      <c r="C79" s="10" t="s">
        <v>42</v>
      </c>
      <c r="D79" s="10" t="s">
        <v>19</v>
      </c>
      <c r="E79" s="12">
        <v>56681</v>
      </c>
      <c r="F79" s="13">
        <v>81692</v>
      </c>
      <c r="G79" s="13">
        <v>62900</v>
      </c>
      <c r="H79" s="18">
        <f t="shared" si="1"/>
        <v>18792</v>
      </c>
      <c r="I79" s="14">
        <v>-0.23003476472604401</v>
      </c>
      <c r="J79" s="16" t="s">
        <v>14</v>
      </c>
      <c r="O79" s="15" t="s">
        <v>13</v>
      </c>
      <c r="Q79" s="17" t="s">
        <v>244</v>
      </c>
      <c r="R79" s="13">
        <v>-8318</v>
      </c>
      <c r="S79" s="1"/>
    </row>
    <row r="80" spans="1:19" hidden="1" x14ac:dyDescent="0.25">
      <c r="A80" s="10" t="s">
        <v>245</v>
      </c>
      <c r="B80" s="11" t="s">
        <v>140</v>
      </c>
      <c r="C80" s="10" t="s">
        <v>42</v>
      </c>
      <c r="D80" s="10" t="s">
        <v>19</v>
      </c>
      <c r="E80" s="12">
        <v>119007</v>
      </c>
      <c r="F80" s="13">
        <v>81692</v>
      </c>
      <c r="G80" s="13">
        <v>62300</v>
      </c>
      <c r="H80" s="18">
        <f t="shared" si="1"/>
        <v>19392</v>
      </c>
      <c r="I80" s="14">
        <v>-0.23737942515791</v>
      </c>
      <c r="J80" s="16" t="s">
        <v>20</v>
      </c>
      <c r="O80" s="15" t="s">
        <v>13</v>
      </c>
      <c r="Q80" s="17" t="s">
        <v>246</v>
      </c>
      <c r="R80" s="13">
        <v>-8234</v>
      </c>
      <c r="S80" s="1"/>
    </row>
    <row r="81" spans="1:19" hidden="1" x14ac:dyDescent="0.25">
      <c r="A81" s="10" t="s">
        <v>247</v>
      </c>
      <c r="B81" s="11" t="s">
        <v>140</v>
      </c>
      <c r="C81" s="10" t="s">
        <v>42</v>
      </c>
      <c r="D81" s="10" t="s">
        <v>19</v>
      </c>
      <c r="E81" s="12">
        <v>111517</v>
      </c>
      <c r="F81" s="13">
        <v>81692</v>
      </c>
      <c r="G81" s="13">
        <v>62300</v>
      </c>
      <c r="H81" s="18">
        <f t="shared" si="1"/>
        <v>19392</v>
      </c>
      <c r="I81" s="14">
        <v>-0.23737942515791</v>
      </c>
      <c r="J81" s="16" t="s">
        <v>20</v>
      </c>
      <c r="O81" s="15" t="s">
        <v>13</v>
      </c>
      <c r="Q81" s="17" t="s">
        <v>248</v>
      </c>
      <c r="R81" s="13">
        <v>-8220</v>
      </c>
      <c r="S81" s="1"/>
    </row>
    <row r="82" spans="1:19" hidden="1" x14ac:dyDescent="0.25">
      <c r="A82" s="10" t="s">
        <v>249</v>
      </c>
      <c r="B82" s="11" t="s">
        <v>140</v>
      </c>
      <c r="C82" s="10" t="s">
        <v>42</v>
      </c>
      <c r="D82" s="10" t="s">
        <v>19</v>
      </c>
      <c r="E82" s="12">
        <v>120869</v>
      </c>
      <c r="F82" s="13">
        <v>81692</v>
      </c>
      <c r="G82" s="13">
        <v>62200</v>
      </c>
      <c r="H82" s="18">
        <f t="shared" si="1"/>
        <v>19492</v>
      </c>
      <c r="I82" s="14">
        <v>-0.238603535229888</v>
      </c>
      <c r="J82" s="16" t="s">
        <v>14</v>
      </c>
      <c r="O82" s="15" t="s">
        <v>13</v>
      </c>
      <c r="Q82" s="17" t="s">
        <v>250</v>
      </c>
      <c r="R82" s="13">
        <v>-6225</v>
      </c>
      <c r="S82" s="1"/>
    </row>
    <row r="83" spans="1:19" hidden="1" x14ac:dyDescent="0.25">
      <c r="A83" s="10" t="s">
        <v>251</v>
      </c>
      <c r="B83" s="11" t="s">
        <v>140</v>
      </c>
      <c r="C83" s="10" t="s">
        <v>42</v>
      </c>
      <c r="D83" s="10" t="s">
        <v>19</v>
      </c>
      <c r="E83" s="12">
        <v>130000</v>
      </c>
      <c r="F83" s="13">
        <v>81692</v>
      </c>
      <c r="G83" s="13">
        <v>61700</v>
      </c>
      <c r="H83" s="18">
        <f t="shared" si="1"/>
        <v>19992</v>
      </c>
      <c r="I83" s="14">
        <v>-0.24472408558977601</v>
      </c>
      <c r="J83" s="16" t="s">
        <v>14</v>
      </c>
      <c r="O83" s="15" t="s">
        <v>13</v>
      </c>
      <c r="Q83" s="17" t="s">
        <v>252</v>
      </c>
      <c r="R83" s="13">
        <v>-8040</v>
      </c>
      <c r="S83" s="1"/>
    </row>
    <row r="84" spans="1:19" hidden="1" x14ac:dyDescent="0.25">
      <c r="A84" s="10" t="s">
        <v>253</v>
      </c>
      <c r="B84" s="11" t="s">
        <v>140</v>
      </c>
      <c r="C84" s="10" t="s">
        <v>42</v>
      </c>
      <c r="D84" s="10" t="s">
        <v>19</v>
      </c>
      <c r="E84" s="12">
        <v>79561</v>
      </c>
      <c r="F84" s="13">
        <v>81692</v>
      </c>
      <c r="G84" s="13">
        <v>61600</v>
      </c>
      <c r="H84" s="18">
        <f t="shared" si="1"/>
        <v>20092</v>
      </c>
      <c r="I84" s="14">
        <v>-0.24594819566175399</v>
      </c>
      <c r="J84" s="16" t="s">
        <v>23</v>
      </c>
      <c r="O84" s="15" t="s">
        <v>13</v>
      </c>
      <c r="Q84" s="17" t="s">
        <v>254</v>
      </c>
      <c r="R84" s="13">
        <v>-6075</v>
      </c>
      <c r="S84" s="1"/>
    </row>
    <row r="85" spans="1:19" hidden="1" x14ac:dyDescent="0.25">
      <c r="A85" s="10" t="s">
        <v>255</v>
      </c>
      <c r="B85" s="11" t="s">
        <v>140</v>
      </c>
      <c r="C85" s="10" t="s">
        <v>42</v>
      </c>
      <c r="D85" s="10" t="s">
        <v>19</v>
      </c>
      <c r="E85" s="12">
        <v>117059</v>
      </c>
      <c r="F85" s="13">
        <v>81692</v>
      </c>
      <c r="G85" s="13">
        <v>61300</v>
      </c>
      <c r="H85" s="18">
        <f t="shared" si="1"/>
        <v>20392</v>
      </c>
      <c r="I85" s="14">
        <v>-0.24962052587768699</v>
      </c>
      <c r="J85" s="16" t="s">
        <v>21</v>
      </c>
      <c r="O85" s="15" t="s">
        <v>13</v>
      </c>
      <c r="Q85" s="17" t="s">
        <v>21</v>
      </c>
      <c r="R85" s="13">
        <v>-11310</v>
      </c>
      <c r="S85" s="1"/>
    </row>
    <row r="86" spans="1:19" hidden="1" x14ac:dyDescent="0.25">
      <c r="A86" s="10" t="s">
        <v>256</v>
      </c>
      <c r="B86" s="11" t="s">
        <v>140</v>
      </c>
      <c r="C86" s="10" t="s">
        <v>42</v>
      </c>
      <c r="D86" s="10" t="s">
        <v>19</v>
      </c>
      <c r="E86" s="12">
        <v>133011</v>
      </c>
      <c r="F86" s="13">
        <v>81692</v>
      </c>
      <c r="G86" s="13">
        <v>60600</v>
      </c>
      <c r="H86" s="18">
        <f t="shared" si="1"/>
        <v>21092</v>
      </c>
      <c r="I86" s="14">
        <v>-0.25818929638153099</v>
      </c>
      <c r="J86" s="16" t="s">
        <v>21</v>
      </c>
      <c r="O86" s="15" t="s">
        <v>13</v>
      </c>
      <c r="Q86" s="17" t="s">
        <v>21</v>
      </c>
      <c r="R86" s="13">
        <v>-11280</v>
      </c>
      <c r="S86" s="1"/>
    </row>
    <row r="87" spans="1:19" hidden="1" x14ac:dyDescent="0.25">
      <c r="A87" s="10" t="s">
        <v>258</v>
      </c>
      <c r="B87" s="11" t="s">
        <v>140</v>
      </c>
      <c r="C87" s="10" t="s">
        <v>42</v>
      </c>
      <c r="D87" s="10" t="s">
        <v>19</v>
      </c>
      <c r="E87" s="12">
        <v>100504</v>
      </c>
      <c r="F87" s="13">
        <v>81692</v>
      </c>
      <c r="G87" s="13">
        <v>58800</v>
      </c>
      <c r="H87" s="18">
        <f t="shared" si="1"/>
        <v>22892</v>
      </c>
      <c r="I87" s="14">
        <v>-0.28022327767712901</v>
      </c>
      <c r="J87" s="16" t="s">
        <v>14</v>
      </c>
      <c r="O87" s="15" t="s">
        <v>13</v>
      </c>
      <c r="Q87" s="17" t="s">
        <v>259</v>
      </c>
      <c r="R87" s="13">
        <v>-9559</v>
      </c>
      <c r="S87" s="1"/>
    </row>
    <row r="88" spans="1:19" hidden="1" x14ac:dyDescent="0.25">
      <c r="A88" s="10" t="s">
        <v>260</v>
      </c>
      <c r="B88" s="11" t="s">
        <v>140</v>
      </c>
      <c r="C88" s="10" t="s">
        <v>42</v>
      </c>
      <c r="D88" s="10" t="s">
        <v>19</v>
      </c>
      <c r="E88" s="12">
        <v>97954</v>
      </c>
      <c r="F88" s="13">
        <v>81692</v>
      </c>
      <c r="G88" s="13">
        <v>58700</v>
      </c>
      <c r="H88" s="18">
        <f t="shared" si="1"/>
        <v>22992</v>
      </c>
      <c r="I88" s="14">
        <v>-0.28144738774910599</v>
      </c>
      <c r="J88" s="16" t="s">
        <v>14</v>
      </c>
      <c r="O88" s="15" t="s">
        <v>13</v>
      </c>
      <c r="Q88" s="17" t="s">
        <v>261</v>
      </c>
      <c r="R88" s="13">
        <v>-11055</v>
      </c>
      <c r="S88" s="1"/>
    </row>
    <row r="89" spans="1:19" hidden="1" x14ac:dyDescent="0.25">
      <c r="A89" s="10" t="s">
        <v>262</v>
      </c>
      <c r="B89" s="11" t="s">
        <v>140</v>
      </c>
      <c r="C89" s="10" t="s">
        <v>42</v>
      </c>
      <c r="D89" s="10" t="s">
        <v>19</v>
      </c>
      <c r="E89" s="12">
        <v>195510</v>
      </c>
      <c r="F89" s="13">
        <v>81692</v>
      </c>
      <c r="G89" s="13">
        <v>58200</v>
      </c>
      <c r="H89" s="18">
        <f t="shared" si="1"/>
        <v>23492</v>
      </c>
      <c r="I89" s="14">
        <v>-0.287567938108995</v>
      </c>
      <c r="J89" s="16" t="s">
        <v>23</v>
      </c>
      <c r="O89" s="15" t="s">
        <v>13</v>
      </c>
      <c r="Q89" s="17" t="s">
        <v>263</v>
      </c>
      <c r="R89" s="13">
        <v>-6999</v>
      </c>
      <c r="S89" s="1"/>
    </row>
    <row r="90" spans="1:19" hidden="1" x14ac:dyDescent="0.25">
      <c r="A90" s="10" t="s">
        <v>264</v>
      </c>
      <c r="B90" s="11" t="s">
        <v>140</v>
      </c>
      <c r="C90" s="10" t="s">
        <v>42</v>
      </c>
      <c r="D90" s="10" t="s">
        <v>19</v>
      </c>
      <c r="E90" s="12">
        <v>120000</v>
      </c>
      <c r="F90" s="13">
        <v>81692</v>
      </c>
      <c r="G90" s="13">
        <v>57600</v>
      </c>
      <c r="H90" s="18">
        <f t="shared" si="1"/>
        <v>24092</v>
      </c>
      <c r="I90" s="14">
        <v>-0.29491259854086099</v>
      </c>
      <c r="J90" s="16" t="s">
        <v>20</v>
      </c>
      <c r="O90" s="15" t="s">
        <v>13</v>
      </c>
      <c r="Q90" s="17" t="s">
        <v>265</v>
      </c>
      <c r="R90" s="13">
        <v>-13950</v>
      </c>
      <c r="S90" s="1"/>
    </row>
    <row r="91" spans="1:19" hidden="1" x14ac:dyDescent="0.25">
      <c r="A91" s="10" t="s">
        <v>266</v>
      </c>
      <c r="B91" s="11" t="s">
        <v>140</v>
      </c>
      <c r="C91" s="10" t="s">
        <v>42</v>
      </c>
      <c r="D91" s="10" t="s">
        <v>19</v>
      </c>
      <c r="E91" s="12">
        <v>122332</v>
      </c>
      <c r="F91" s="13">
        <v>81692</v>
      </c>
      <c r="G91" s="13">
        <v>57400</v>
      </c>
      <c r="H91" s="18">
        <f t="shared" si="1"/>
        <v>24292</v>
      </c>
      <c r="I91" s="14">
        <v>-0.29736081868481601</v>
      </c>
      <c r="J91" s="16" t="s">
        <v>14</v>
      </c>
      <c r="O91" s="15" t="s">
        <v>13</v>
      </c>
      <c r="Q91" s="17" t="s">
        <v>267</v>
      </c>
      <c r="R91" s="13">
        <v>-11985</v>
      </c>
      <c r="S91" s="1"/>
    </row>
    <row r="92" spans="1:19" hidden="1" x14ac:dyDescent="0.25">
      <c r="A92" s="10" t="s">
        <v>268</v>
      </c>
      <c r="B92" s="11" t="s">
        <v>140</v>
      </c>
      <c r="C92" s="10" t="s">
        <v>42</v>
      </c>
      <c r="D92" s="10" t="s">
        <v>19</v>
      </c>
      <c r="E92" s="12">
        <v>112834</v>
      </c>
      <c r="F92" s="13">
        <v>81692</v>
      </c>
      <c r="G92" s="13">
        <v>57100</v>
      </c>
      <c r="H92" s="18">
        <f t="shared" si="1"/>
        <v>24592</v>
      </c>
      <c r="I92" s="14">
        <v>-0.301033148900749</v>
      </c>
      <c r="J92" s="16" t="s">
        <v>23</v>
      </c>
      <c r="O92" s="15" t="s">
        <v>13</v>
      </c>
      <c r="Q92" s="17" t="s">
        <v>269</v>
      </c>
      <c r="R92" s="13">
        <v>-9180</v>
      </c>
      <c r="S92" s="1"/>
    </row>
    <row r="93" spans="1:19" hidden="1" x14ac:dyDescent="0.25">
      <c r="A93" s="10" t="s">
        <v>270</v>
      </c>
      <c r="B93" s="11" t="s">
        <v>140</v>
      </c>
      <c r="C93" s="10" t="s">
        <v>42</v>
      </c>
      <c r="D93" s="10" t="s">
        <v>19</v>
      </c>
      <c r="E93" s="12">
        <v>127853</v>
      </c>
      <c r="F93" s="13">
        <v>81692</v>
      </c>
      <c r="G93" s="13">
        <v>55600</v>
      </c>
      <c r="H93" s="18">
        <f t="shared" si="1"/>
        <v>26092</v>
      </c>
      <c r="I93" s="14">
        <v>-0.31939479998041398</v>
      </c>
      <c r="J93" s="16" t="s">
        <v>21</v>
      </c>
      <c r="O93" s="15" t="s">
        <v>13</v>
      </c>
      <c r="Q93" s="17" t="s">
        <v>21</v>
      </c>
      <c r="R93" s="13">
        <v>-16305</v>
      </c>
      <c r="S93" s="1"/>
    </row>
    <row r="94" spans="1:19" hidden="1" x14ac:dyDescent="0.25">
      <c r="A94" s="10" t="s">
        <v>271</v>
      </c>
      <c r="B94" s="11" t="s">
        <v>140</v>
      </c>
      <c r="C94" s="10" t="s">
        <v>42</v>
      </c>
      <c r="D94" s="10" t="s">
        <v>19</v>
      </c>
      <c r="E94" s="12">
        <v>74558</v>
      </c>
      <c r="F94" s="13">
        <v>81692</v>
      </c>
      <c r="G94" s="13">
        <v>54500</v>
      </c>
      <c r="H94" s="18">
        <f t="shared" si="1"/>
        <v>27192</v>
      </c>
      <c r="I94" s="14">
        <v>-0.33286001077216898</v>
      </c>
      <c r="J94" s="16" t="s">
        <v>23</v>
      </c>
      <c r="O94" s="15" t="s">
        <v>13</v>
      </c>
      <c r="Q94" s="17" t="s">
        <v>272</v>
      </c>
      <c r="R94" s="13">
        <v>-14835</v>
      </c>
      <c r="S94" s="1"/>
    </row>
    <row r="95" spans="1:19" hidden="1" x14ac:dyDescent="0.25">
      <c r="A95" s="10" t="s">
        <v>279</v>
      </c>
      <c r="B95" s="11" t="s">
        <v>140</v>
      </c>
      <c r="C95" s="10" t="s">
        <v>42</v>
      </c>
      <c r="D95" s="10" t="s">
        <v>19</v>
      </c>
      <c r="E95" s="12">
        <v>123345</v>
      </c>
      <c r="F95" s="13">
        <v>81692</v>
      </c>
      <c r="G95" s="13">
        <v>64100</v>
      </c>
      <c r="H95" s="18">
        <f t="shared" si="1"/>
        <v>17592</v>
      </c>
      <c r="I95" s="14">
        <v>-0.215345443862312</v>
      </c>
      <c r="J95" s="16" t="s">
        <v>14</v>
      </c>
      <c r="O95" s="15" t="s">
        <v>13</v>
      </c>
      <c r="Q95" s="17" t="s">
        <v>280</v>
      </c>
      <c r="R95" s="13">
        <v>-4305</v>
      </c>
      <c r="S95" s="1"/>
    </row>
    <row r="96" spans="1:19" hidden="1" x14ac:dyDescent="0.25">
      <c r="A96" s="10" t="s">
        <v>281</v>
      </c>
      <c r="B96" s="11" t="s">
        <v>140</v>
      </c>
      <c r="C96" s="10" t="s">
        <v>42</v>
      </c>
      <c r="D96" s="10" t="s">
        <v>19</v>
      </c>
      <c r="E96" s="12">
        <v>110134</v>
      </c>
      <c r="F96" s="13">
        <v>81692</v>
      </c>
      <c r="G96" s="13">
        <v>69800</v>
      </c>
      <c r="H96" s="18">
        <f t="shared" si="1"/>
        <v>11892</v>
      </c>
      <c r="I96" s="14">
        <v>-0.14557116975958501</v>
      </c>
      <c r="J96" s="16" t="s">
        <v>20</v>
      </c>
      <c r="O96" s="15" t="s">
        <v>13</v>
      </c>
      <c r="Q96" s="17" t="s">
        <v>282</v>
      </c>
      <c r="R96" s="13">
        <v>-2820</v>
      </c>
      <c r="S96" s="1"/>
    </row>
    <row r="97" spans="1:19" hidden="1" x14ac:dyDescent="0.25">
      <c r="A97" s="10" t="s">
        <v>377</v>
      </c>
      <c r="B97" s="11" t="s">
        <v>140</v>
      </c>
      <c r="C97" s="10" t="s">
        <v>18</v>
      </c>
      <c r="D97" s="10" t="s">
        <v>19</v>
      </c>
      <c r="E97" s="12">
        <v>52716</v>
      </c>
      <c r="F97" s="13">
        <v>89308</v>
      </c>
      <c r="G97" s="13">
        <v>75800</v>
      </c>
      <c r="H97" s="18">
        <f t="shared" si="1"/>
        <v>13508</v>
      </c>
      <c r="I97" s="14">
        <v>-0.15125184753885401</v>
      </c>
      <c r="J97" s="16" t="s">
        <v>21</v>
      </c>
      <c r="O97" s="15" t="s">
        <v>13</v>
      </c>
      <c r="Q97" s="17" t="s">
        <v>21</v>
      </c>
      <c r="R97" s="13">
        <v>-5981</v>
      </c>
      <c r="S97" s="1"/>
    </row>
    <row r="98" spans="1:19" hidden="1" x14ac:dyDescent="0.25">
      <c r="A98" s="10" t="s">
        <v>419</v>
      </c>
      <c r="B98" s="11" t="s">
        <v>140</v>
      </c>
      <c r="C98" s="10" t="s">
        <v>18</v>
      </c>
      <c r="D98" s="10" t="s">
        <v>19</v>
      </c>
      <c r="E98" s="12">
        <v>84469</v>
      </c>
      <c r="F98" s="13">
        <v>89308</v>
      </c>
      <c r="G98" s="13">
        <v>69100</v>
      </c>
      <c r="H98" s="18">
        <f t="shared" si="1"/>
        <v>20208</v>
      </c>
      <c r="I98" s="14">
        <v>-0.226273122228692</v>
      </c>
      <c r="J98" s="16" t="s">
        <v>20</v>
      </c>
      <c r="O98" s="15" t="s">
        <v>13</v>
      </c>
      <c r="Q98" s="17" t="s">
        <v>420</v>
      </c>
      <c r="R98" s="13">
        <v>-7934</v>
      </c>
      <c r="S98" s="1"/>
    </row>
    <row r="99" spans="1:19" x14ac:dyDescent="0.25">
      <c r="A99" s="10" t="s">
        <v>426</v>
      </c>
      <c r="B99" s="11" t="s">
        <v>140</v>
      </c>
      <c r="C99" s="10" t="s">
        <v>18</v>
      </c>
      <c r="D99" s="10" t="s">
        <v>19</v>
      </c>
      <c r="E99" s="12">
        <v>164193</v>
      </c>
      <c r="F99" s="13">
        <v>89308</v>
      </c>
      <c r="G99" s="13">
        <v>67100</v>
      </c>
      <c r="H99" s="18">
        <f t="shared" si="1"/>
        <v>22208</v>
      </c>
      <c r="I99" s="14">
        <v>-0.24866753258386701</v>
      </c>
      <c r="J99" s="16" t="s">
        <v>14</v>
      </c>
      <c r="O99" s="15"/>
      <c r="Q99" s="17"/>
      <c r="R99" s="13"/>
      <c r="S99" s="1"/>
    </row>
    <row r="100" spans="1:19" hidden="1" x14ac:dyDescent="0.25">
      <c r="A100" s="10" t="s">
        <v>701</v>
      </c>
      <c r="B100" s="11" t="s">
        <v>140</v>
      </c>
      <c r="C100" s="10" t="s">
        <v>18</v>
      </c>
      <c r="D100" s="10" t="s">
        <v>19</v>
      </c>
      <c r="E100" s="12">
        <v>59148</v>
      </c>
      <c r="F100" s="13">
        <v>89308</v>
      </c>
      <c r="G100" s="13">
        <v>80400</v>
      </c>
      <c r="H100" s="18">
        <f t="shared" si="1"/>
        <v>8908</v>
      </c>
      <c r="I100" s="14">
        <v>-9.9744703721951003E-2</v>
      </c>
      <c r="J100" s="16" t="s">
        <v>20</v>
      </c>
      <c r="O100" s="15" t="s">
        <v>653</v>
      </c>
      <c r="Q100" s="17" t="s">
        <v>702</v>
      </c>
      <c r="R100" s="13">
        <v>0</v>
      </c>
      <c r="S100" s="1"/>
    </row>
    <row r="101" spans="1:19" hidden="1" x14ac:dyDescent="0.25">
      <c r="A101" s="10" t="s">
        <v>608</v>
      </c>
      <c r="B101" s="11" t="s">
        <v>609</v>
      </c>
      <c r="C101" s="10" t="s">
        <v>45</v>
      </c>
      <c r="D101" s="10" t="s">
        <v>19</v>
      </c>
      <c r="E101" s="12">
        <v>17773</v>
      </c>
      <c r="F101" s="13">
        <v>98244</v>
      </c>
      <c r="G101" s="13">
        <v>82300</v>
      </c>
      <c r="H101" s="18">
        <f t="shared" si="1"/>
        <v>15944</v>
      </c>
      <c r="I101" s="14">
        <v>-0.16228980904686299</v>
      </c>
      <c r="J101" s="16" t="s">
        <v>21</v>
      </c>
      <c r="O101" s="15" t="s">
        <v>13</v>
      </c>
      <c r="Q101" s="17" t="s">
        <v>21</v>
      </c>
      <c r="R101" s="13">
        <v>-7298</v>
      </c>
      <c r="S101" s="1"/>
    </row>
    <row r="102" spans="1:19" hidden="1" x14ac:dyDescent="0.25">
      <c r="A102" s="10" t="s">
        <v>390</v>
      </c>
      <c r="B102" s="11" t="s">
        <v>391</v>
      </c>
      <c r="C102" s="10" t="s">
        <v>18</v>
      </c>
      <c r="D102" s="10" t="s">
        <v>19</v>
      </c>
      <c r="E102" s="12">
        <v>1</v>
      </c>
      <c r="F102" s="13">
        <v>160958</v>
      </c>
      <c r="G102" s="13">
        <v>114600</v>
      </c>
      <c r="H102" s="18">
        <f t="shared" si="1"/>
        <v>46358</v>
      </c>
      <c r="I102" s="14">
        <v>-0.28801302203059198</v>
      </c>
      <c r="J102" s="16" t="s">
        <v>14</v>
      </c>
      <c r="O102" s="15" t="s">
        <v>13</v>
      </c>
      <c r="Q102" s="17" t="s">
        <v>392</v>
      </c>
      <c r="R102" s="13">
        <v>-25379</v>
      </c>
      <c r="S102" s="1"/>
    </row>
    <row r="103" spans="1:19" x14ac:dyDescent="0.25">
      <c r="A103" s="10" t="s">
        <v>411</v>
      </c>
      <c r="B103" s="11" t="s">
        <v>412</v>
      </c>
      <c r="C103" s="10" t="s">
        <v>18</v>
      </c>
      <c r="D103" s="10" t="s">
        <v>19</v>
      </c>
      <c r="E103" s="12">
        <v>70000</v>
      </c>
      <c r="F103" s="13">
        <v>198860</v>
      </c>
      <c r="G103" s="13">
        <v>178200</v>
      </c>
      <c r="H103" s="18">
        <f t="shared" si="1"/>
        <v>20660</v>
      </c>
      <c r="I103" s="14">
        <v>-0.103892185457106</v>
      </c>
      <c r="J103" s="16" t="s">
        <v>21</v>
      </c>
      <c r="O103" s="15"/>
      <c r="Q103" s="17"/>
      <c r="R103" s="13"/>
      <c r="S103" s="1"/>
    </row>
    <row r="104" spans="1:19" hidden="1" x14ac:dyDescent="0.25">
      <c r="A104" s="10" t="s">
        <v>191</v>
      </c>
      <c r="B104" s="11" t="s">
        <v>192</v>
      </c>
      <c r="C104" s="10" t="s">
        <v>42</v>
      </c>
      <c r="D104" s="10" t="s">
        <v>19</v>
      </c>
      <c r="E104" s="12">
        <v>156537</v>
      </c>
      <c r="F104" s="13">
        <v>54743</v>
      </c>
      <c r="G104" s="13">
        <v>49300</v>
      </c>
      <c r="H104" s="18">
        <f t="shared" si="1"/>
        <v>5443</v>
      </c>
      <c r="I104" s="14">
        <v>-9.9428237400215599E-2</v>
      </c>
      <c r="J104" s="16" t="s">
        <v>21</v>
      </c>
      <c r="O104" s="15" t="s">
        <v>13</v>
      </c>
      <c r="Q104" s="17" t="s">
        <v>21</v>
      </c>
      <c r="R104" s="13">
        <v>0</v>
      </c>
      <c r="S104" s="1"/>
    </row>
    <row r="105" spans="1:19" hidden="1" x14ac:dyDescent="0.25">
      <c r="A105" s="10" t="s">
        <v>275</v>
      </c>
      <c r="B105" s="11" t="s">
        <v>192</v>
      </c>
      <c r="C105" s="10" t="s">
        <v>42</v>
      </c>
      <c r="D105" s="10" t="s">
        <v>19</v>
      </c>
      <c r="E105" s="12">
        <v>105296</v>
      </c>
      <c r="F105" s="13">
        <v>54743</v>
      </c>
      <c r="G105" s="13">
        <v>47100</v>
      </c>
      <c r="H105" s="18">
        <f t="shared" si="1"/>
        <v>7643</v>
      </c>
      <c r="I105" s="14">
        <v>-0.139616023966534</v>
      </c>
      <c r="J105" s="16" t="s">
        <v>14</v>
      </c>
      <c r="O105" s="15" t="s">
        <v>13</v>
      </c>
      <c r="Q105" s="17" t="s">
        <v>276</v>
      </c>
      <c r="R105" s="13">
        <v>-1755</v>
      </c>
      <c r="S105" s="1"/>
    </row>
    <row r="106" spans="1:19" hidden="1" x14ac:dyDescent="0.25">
      <c r="A106" s="10" t="s">
        <v>277</v>
      </c>
      <c r="B106" s="11" t="s">
        <v>192</v>
      </c>
      <c r="C106" s="10" t="s">
        <v>42</v>
      </c>
      <c r="D106" s="10" t="s">
        <v>19</v>
      </c>
      <c r="E106" s="12">
        <v>208390</v>
      </c>
      <c r="F106" s="13">
        <v>54743</v>
      </c>
      <c r="G106" s="13">
        <v>43600</v>
      </c>
      <c r="H106" s="18">
        <f t="shared" si="1"/>
        <v>11143</v>
      </c>
      <c r="I106" s="14">
        <v>-0.20355113895840601</v>
      </c>
      <c r="J106" s="16" t="s">
        <v>20</v>
      </c>
      <c r="O106" s="15" t="s">
        <v>13</v>
      </c>
      <c r="Q106" s="17" t="s">
        <v>278</v>
      </c>
      <c r="R106" s="13">
        <v>-4525</v>
      </c>
      <c r="S106" s="1"/>
    </row>
    <row r="107" spans="1:19" hidden="1" x14ac:dyDescent="0.25">
      <c r="A107" s="10" t="s">
        <v>546</v>
      </c>
      <c r="B107" s="11" t="s">
        <v>547</v>
      </c>
      <c r="C107" s="10" t="s">
        <v>35</v>
      </c>
      <c r="D107" s="10" t="s">
        <v>12</v>
      </c>
      <c r="E107" s="12">
        <v>33269</v>
      </c>
      <c r="F107" s="13">
        <v>66609</v>
      </c>
      <c r="G107" s="13">
        <v>56300</v>
      </c>
      <c r="H107" s="18">
        <f t="shared" si="1"/>
        <v>10309</v>
      </c>
      <c r="I107" s="14">
        <v>-0.15476887507694201</v>
      </c>
      <c r="J107" s="16" t="s">
        <v>14</v>
      </c>
      <c r="O107" s="15" t="s">
        <v>13</v>
      </c>
      <c r="Q107" s="17" t="s">
        <v>548</v>
      </c>
      <c r="R107" s="13">
        <v>-5537</v>
      </c>
      <c r="S107" s="1"/>
    </row>
    <row r="108" spans="1:19" hidden="1" x14ac:dyDescent="0.25">
      <c r="A108" s="10" t="s">
        <v>638</v>
      </c>
      <c r="B108" s="11" t="s">
        <v>639</v>
      </c>
      <c r="C108" s="10" t="s">
        <v>45</v>
      </c>
      <c r="D108" s="10" t="s">
        <v>52</v>
      </c>
      <c r="E108" s="12">
        <v>29778</v>
      </c>
      <c r="F108" s="13">
        <v>93632</v>
      </c>
      <c r="G108" s="13">
        <v>82100</v>
      </c>
      <c r="H108" s="18">
        <f t="shared" si="1"/>
        <v>11532</v>
      </c>
      <c r="I108" s="14">
        <v>-0.123163021189337</v>
      </c>
      <c r="J108" s="16" t="s">
        <v>14</v>
      </c>
      <c r="O108" s="15" t="s">
        <v>13</v>
      </c>
      <c r="Q108" s="17" t="s">
        <v>640</v>
      </c>
      <c r="R108" s="13">
        <v>-360</v>
      </c>
      <c r="S108" s="1"/>
    </row>
    <row r="109" spans="1:19" x14ac:dyDescent="0.25">
      <c r="A109" s="10" t="s">
        <v>612</v>
      </c>
      <c r="B109" s="11" t="s">
        <v>613</v>
      </c>
      <c r="C109" s="10" t="s">
        <v>45</v>
      </c>
      <c r="D109" s="10" t="s">
        <v>52</v>
      </c>
      <c r="E109" s="12">
        <v>24442</v>
      </c>
      <c r="F109" s="13">
        <v>80852</v>
      </c>
      <c r="G109" s="13">
        <v>62400</v>
      </c>
      <c r="H109" s="18">
        <f t="shared" si="1"/>
        <v>18452</v>
      </c>
      <c r="I109" s="14">
        <v>-0.22821946272201099</v>
      </c>
      <c r="J109" s="16" t="s">
        <v>23</v>
      </c>
      <c r="O109" s="15"/>
      <c r="Q109" s="17"/>
      <c r="R109" s="13"/>
      <c r="S109" s="1"/>
    </row>
    <row r="110" spans="1:19" hidden="1" x14ac:dyDescent="0.25">
      <c r="A110" s="10" t="s">
        <v>715</v>
      </c>
      <c r="B110" s="11" t="s">
        <v>613</v>
      </c>
      <c r="C110" s="10" t="s">
        <v>45</v>
      </c>
      <c r="D110" s="10" t="s">
        <v>680</v>
      </c>
      <c r="E110" s="12">
        <v>63068</v>
      </c>
      <c r="F110" s="13">
        <v>80852</v>
      </c>
      <c r="G110" s="13">
        <v>74400</v>
      </c>
      <c r="H110" s="18">
        <f t="shared" si="1"/>
        <v>6452</v>
      </c>
      <c r="I110" s="14">
        <v>-7.9800128630089603E-2</v>
      </c>
      <c r="J110" s="16" t="s">
        <v>14</v>
      </c>
      <c r="O110" s="15" t="s">
        <v>653</v>
      </c>
      <c r="Q110" s="17" t="s">
        <v>716</v>
      </c>
      <c r="R110" s="13">
        <v>0</v>
      </c>
      <c r="S110" s="1"/>
    </row>
    <row r="111" spans="1:19" hidden="1" x14ac:dyDescent="0.25">
      <c r="A111" s="10" t="s">
        <v>116</v>
      </c>
      <c r="B111" s="11" t="s">
        <v>117</v>
      </c>
      <c r="C111" s="10" t="s">
        <v>103</v>
      </c>
      <c r="D111" s="10" t="s">
        <v>19</v>
      </c>
      <c r="E111" s="12">
        <v>94749</v>
      </c>
      <c r="F111" s="13">
        <v>158014</v>
      </c>
      <c r="G111" s="13">
        <v>111600</v>
      </c>
      <c r="H111" s="18">
        <f t="shared" si="1"/>
        <v>46414</v>
      </c>
      <c r="I111" s="14">
        <v>-0.293733466654853</v>
      </c>
      <c r="J111" s="16" t="s">
        <v>23</v>
      </c>
      <c r="O111" s="15" t="s">
        <v>13</v>
      </c>
      <c r="Q111" s="17" t="s">
        <v>118</v>
      </c>
      <c r="R111" s="13">
        <v>-20222</v>
      </c>
      <c r="S111" s="1"/>
    </row>
    <row r="112" spans="1:19" hidden="1" x14ac:dyDescent="0.25">
      <c r="A112" s="10" t="s">
        <v>119</v>
      </c>
      <c r="B112" s="11" t="s">
        <v>117</v>
      </c>
      <c r="C112" s="10" t="s">
        <v>103</v>
      </c>
      <c r="D112" s="10" t="s">
        <v>19</v>
      </c>
      <c r="E112" s="12">
        <v>100013</v>
      </c>
      <c r="F112" s="13">
        <v>158014</v>
      </c>
      <c r="G112" s="13">
        <v>135200</v>
      </c>
      <c r="H112" s="18">
        <f t="shared" si="1"/>
        <v>22814</v>
      </c>
      <c r="I112" s="14">
        <v>-0.14437961193311999</v>
      </c>
      <c r="J112" s="16" t="s">
        <v>20</v>
      </c>
      <c r="O112" s="15" t="s">
        <v>13</v>
      </c>
      <c r="Q112" s="17" t="s">
        <v>120</v>
      </c>
      <c r="R112" s="13">
        <v>-3705</v>
      </c>
      <c r="S112" s="1"/>
    </row>
    <row r="113" spans="1:19" hidden="1" x14ac:dyDescent="0.25">
      <c r="A113" s="10" t="s">
        <v>121</v>
      </c>
      <c r="B113" s="11" t="s">
        <v>117</v>
      </c>
      <c r="C113" s="10" t="s">
        <v>103</v>
      </c>
      <c r="D113" s="10" t="s">
        <v>19</v>
      </c>
      <c r="E113" s="12">
        <v>88236</v>
      </c>
      <c r="F113" s="13">
        <v>158014</v>
      </c>
      <c r="G113" s="13">
        <v>130300</v>
      </c>
      <c r="H113" s="18">
        <f t="shared" si="1"/>
        <v>27714</v>
      </c>
      <c r="I113" s="14">
        <v>-0.17538952244737799</v>
      </c>
      <c r="J113" s="16" t="s">
        <v>14</v>
      </c>
      <c r="O113" s="15" t="s">
        <v>13</v>
      </c>
      <c r="Q113" s="17" t="s">
        <v>122</v>
      </c>
      <c r="R113" s="13">
        <v>-5775</v>
      </c>
      <c r="S113" s="1"/>
    </row>
    <row r="114" spans="1:19" hidden="1" x14ac:dyDescent="0.25">
      <c r="A114" s="10" t="s">
        <v>558</v>
      </c>
      <c r="B114" s="11" t="s">
        <v>117</v>
      </c>
      <c r="C114" s="10" t="s">
        <v>35</v>
      </c>
      <c r="D114" s="10" t="s">
        <v>19</v>
      </c>
      <c r="E114" s="12">
        <v>42359</v>
      </c>
      <c r="F114" s="13">
        <v>193906</v>
      </c>
      <c r="G114" s="13">
        <v>154300</v>
      </c>
      <c r="H114" s="18">
        <f t="shared" si="1"/>
        <v>39606</v>
      </c>
      <c r="I114" s="14">
        <v>-0.20425360741802701</v>
      </c>
      <c r="J114" s="16" t="s">
        <v>14</v>
      </c>
      <c r="O114" s="15" t="s">
        <v>13</v>
      </c>
      <c r="Q114" s="17" t="s">
        <v>559</v>
      </c>
      <c r="R114" s="13">
        <v>-12643</v>
      </c>
      <c r="S114" s="1"/>
    </row>
    <row r="115" spans="1:19" hidden="1" x14ac:dyDescent="0.25">
      <c r="A115" s="10" t="s">
        <v>325</v>
      </c>
      <c r="B115" s="11" t="s">
        <v>326</v>
      </c>
      <c r="C115" s="10" t="s">
        <v>285</v>
      </c>
      <c r="D115" s="10" t="s">
        <v>19</v>
      </c>
      <c r="E115" s="12">
        <v>117182</v>
      </c>
      <c r="F115" s="13">
        <v>142030</v>
      </c>
      <c r="G115" s="13">
        <v>113300</v>
      </c>
      <c r="H115" s="18">
        <f t="shared" si="1"/>
        <v>28730</v>
      </c>
      <c r="I115" s="14">
        <v>-0.20228120819545201</v>
      </c>
      <c r="J115" s="16" t="s">
        <v>20</v>
      </c>
      <c r="O115" s="15" t="s">
        <v>13</v>
      </c>
      <c r="Q115" s="17" t="s">
        <v>327</v>
      </c>
      <c r="R115" s="13">
        <v>-6615</v>
      </c>
      <c r="S115" s="1"/>
    </row>
    <row r="116" spans="1:19" hidden="1" x14ac:dyDescent="0.25">
      <c r="A116" s="10" t="s">
        <v>647</v>
      </c>
      <c r="B116" s="11" t="s">
        <v>326</v>
      </c>
      <c r="C116" s="10" t="s">
        <v>45</v>
      </c>
      <c r="D116" s="10" t="s">
        <v>19</v>
      </c>
      <c r="E116" s="12">
        <v>1</v>
      </c>
      <c r="F116" s="13">
        <v>173969</v>
      </c>
      <c r="G116" s="13">
        <v>146000</v>
      </c>
      <c r="H116" s="18">
        <f t="shared" si="1"/>
        <v>27969</v>
      </c>
      <c r="I116" s="14">
        <v>-0.16077002224534301</v>
      </c>
      <c r="J116" s="16" t="s">
        <v>21</v>
      </c>
      <c r="O116" s="15" t="s">
        <v>13</v>
      </c>
      <c r="Q116" s="17" t="s">
        <v>21</v>
      </c>
      <c r="R116" s="13">
        <v>-14651</v>
      </c>
      <c r="S116" s="1"/>
    </row>
    <row r="117" spans="1:19" x14ac:dyDescent="0.25">
      <c r="A117" s="10" t="s">
        <v>99</v>
      </c>
      <c r="B117" s="11" t="s">
        <v>100</v>
      </c>
      <c r="C117" s="10" t="s">
        <v>98</v>
      </c>
      <c r="D117" s="10" t="s">
        <v>19</v>
      </c>
      <c r="E117" s="12">
        <v>10</v>
      </c>
      <c r="F117" s="13">
        <v>50014</v>
      </c>
      <c r="G117" s="13">
        <v>37600</v>
      </c>
      <c r="H117" s="18">
        <f t="shared" si="1"/>
        <v>12414</v>
      </c>
      <c r="I117" s="14">
        <v>-0.24821050105970299</v>
      </c>
      <c r="J117" s="16" t="s">
        <v>23</v>
      </c>
      <c r="O117" s="15"/>
      <c r="Q117" s="17"/>
      <c r="R117" s="13"/>
      <c r="S117" s="1"/>
    </row>
    <row r="118" spans="1:19" hidden="1" x14ac:dyDescent="0.25">
      <c r="A118" s="10" t="s">
        <v>374</v>
      </c>
      <c r="B118" s="11" t="s">
        <v>375</v>
      </c>
      <c r="C118" s="10" t="s">
        <v>18</v>
      </c>
      <c r="D118" s="10" t="s">
        <v>52</v>
      </c>
      <c r="E118" s="12">
        <v>20733</v>
      </c>
      <c r="F118" s="13">
        <v>96401</v>
      </c>
      <c r="G118" s="13">
        <v>81400</v>
      </c>
      <c r="H118" s="18">
        <f t="shared" si="1"/>
        <v>15001</v>
      </c>
      <c r="I118" s="14">
        <v>-0.155610418979056</v>
      </c>
      <c r="J118" s="16" t="s">
        <v>20</v>
      </c>
      <c r="O118" s="15" t="s">
        <v>13</v>
      </c>
      <c r="Q118" s="17" t="s">
        <v>376</v>
      </c>
      <c r="R118" s="13">
        <v>-7610</v>
      </c>
      <c r="S118" s="1"/>
    </row>
    <row r="119" spans="1:19" hidden="1" x14ac:dyDescent="0.25">
      <c r="A119" s="10" t="s">
        <v>395</v>
      </c>
      <c r="B119" s="11" t="s">
        <v>396</v>
      </c>
      <c r="C119" s="10" t="s">
        <v>18</v>
      </c>
      <c r="D119" s="10" t="s">
        <v>19</v>
      </c>
      <c r="E119" s="12">
        <v>27516</v>
      </c>
      <c r="F119" s="13">
        <v>104874</v>
      </c>
      <c r="G119" s="13">
        <v>89900</v>
      </c>
      <c r="H119" s="18">
        <f t="shared" si="1"/>
        <v>14974</v>
      </c>
      <c r="I119" s="14">
        <v>-0.142780860842535</v>
      </c>
      <c r="J119" s="16" t="s">
        <v>20</v>
      </c>
      <c r="O119" s="15" t="s">
        <v>13</v>
      </c>
      <c r="Q119" s="17" t="s">
        <v>397</v>
      </c>
      <c r="R119" s="13">
        <v>-6920</v>
      </c>
      <c r="S119" s="1"/>
    </row>
    <row r="120" spans="1:19" hidden="1" x14ac:dyDescent="0.25">
      <c r="A120" s="10" t="s">
        <v>49</v>
      </c>
      <c r="B120" s="11" t="s">
        <v>50</v>
      </c>
      <c r="C120" s="10" t="s">
        <v>51</v>
      </c>
      <c r="D120" s="10" t="s">
        <v>52</v>
      </c>
      <c r="E120" s="12">
        <v>8698</v>
      </c>
      <c r="F120" s="13">
        <v>77419</v>
      </c>
      <c r="G120" s="13">
        <v>52975</v>
      </c>
      <c r="H120" s="18">
        <f t="shared" si="1"/>
        <v>24444</v>
      </c>
      <c r="I120" s="14">
        <v>-0.31573644712538301</v>
      </c>
      <c r="J120" s="16" t="s">
        <v>23</v>
      </c>
      <c r="O120" s="15" t="s">
        <v>13</v>
      </c>
      <c r="Q120" s="17" t="s">
        <v>53</v>
      </c>
      <c r="R120" s="13">
        <v>-8960</v>
      </c>
      <c r="S120" s="1"/>
    </row>
    <row r="121" spans="1:19" x14ac:dyDescent="0.25">
      <c r="A121" s="10" t="s">
        <v>16</v>
      </c>
      <c r="B121" s="11" t="s">
        <v>17</v>
      </c>
      <c r="C121" s="10" t="s">
        <v>18</v>
      </c>
      <c r="D121" s="10" t="s">
        <v>19</v>
      </c>
      <c r="E121" s="12">
        <v>55176</v>
      </c>
      <c r="F121" s="13">
        <v>52397</v>
      </c>
      <c r="G121" s="13">
        <v>45800</v>
      </c>
      <c r="H121" s="18">
        <f t="shared" si="1"/>
        <v>6597</v>
      </c>
      <c r="I121" s="14">
        <v>-0.125904154818024</v>
      </c>
      <c r="J121" s="16" t="s">
        <v>20</v>
      </c>
      <c r="O121" s="15"/>
      <c r="Q121" s="17"/>
      <c r="R121" s="13"/>
      <c r="S121" s="1"/>
    </row>
    <row r="122" spans="1:19" hidden="1" x14ac:dyDescent="0.25">
      <c r="A122" s="10" t="s">
        <v>114</v>
      </c>
      <c r="B122" s="11" t="s">
        <v>17</v>
      </c>
      <c r="C122" s="10" t="s">
        <v>11</v>
      </c>
      <c r="D122" s="10" t="s">
        <v>19</v>
      </c>
      <c r="E122" s="12">
        <v>111787</v>
      </c>
      <c r="F122" s="13">
        <v>44424</v>
      </c>
      <c r="G122" s="13">
        <v>36300</v>
      </c>
      <c r="H122" s="18">
        <f t="shared" si="1"/>
        <v>8124</v>
      </c>
      <c r="I122" s="14">
        <v>-0.18287412209616399</v>
      </c>
      <c r="J122" s="16" t="s">
        <v>14</v>
      </c>
      <c r="O122" s="15" t="s">
        <v>13</v>
      </c>
      <c r="Q122" s="17" t="s">
        <v>115</v>
      </c>
      <c r="R122" s="13">
        <v>-2940</v>
      </c>
      <c r="S122" s="1"/>
    </row>
    <row r="123" spans="1:19" hidden="1" x14ac:dyDescent="0.25">
      <c r="A123" s="10" t="s">
        <v>219</v>
      </c>
      <c r="B123" s="11" t="s">
        <v>17</v>
      </c>
      <c r="C123" s="10" t="s">
        <v>42</v>
      </c>
      <c r="D123" s="10" t="s">
        <v>19</v>
      </c>
      <c r="E123" s="12">
        <v>72909</v>
      </c>
      <c r="F123" s="13">
        <v>49397</v>
      </c>
      <c r="G123" s="13">
        <v>37700</v>
      </c>
      <c r="H123" s="18">
        <f t="shared" si="1"/>
        <v>11697</v>
      </c>
      <c r="I123" s="14">
        <v>-0.236795756827338</v>
      </c>
      <c r="J123" s="16" t="s">
        <v>23</v>
      </c>
      <c r="O123" s="15" t="s">
        <v>13</v>
      </c>
      <c r="Q123" s="17" t="s">
        <v>220</v>
      </c>
      <c r="R123" s="13">
        <v>-5033</v>
      </c>
      <c r="S123" s="1"/>
    </row>
    <row r="124" spans="1:19" hidden="1" x14ac:dyDescent="0.25">
      <c r="A124" s="10" t="s">
        <v>355</v>
      </c>
      <c r="B124" s="11" t="s">
        <v>17</v>
      </c>
      <c r="C124" s="10" t="s">
        <v>18</v>
      </c>
      <c r="D124" s="10" t="s">
        <v>19</v>
      </c>
      <c r="E124" s="12">
        <v>48008</v>
      </c>
      <c r="F124" s="13">
        <v>52397</v>
      </c>
      <c r="G124" s="13">
        <v>42900</v>
      </c>
      <c r="H124" s="18">
        <f t="shared" si="1"/>
        <v>9497</v>
      </c>
      <c r="I124" s="14">
        <v>-0.18125083497146799</v>
      </c>
      <c r="J124" s="16" t="s">
        <v>23</v>
      </c>
      <c r="O124" s="15" t="s">
        <v>13</v>
      </c>
      <c r="Q124" s="17" t="s">
        <v>356</v>
      </c>
      <c r="R124" s="13">
        <v>-2466</v>
      </c>
      <c r="S124" s="1"/>
    </row>
    <row r="125" spans="1:19" x14ac:dyDescent="0.25">
      <c r="A125" s="10" t="s">
        <v>357</v>
      </c>
      <c r="B125" s="11" t="s">
        <v>17</v>
      </c>
      <c r="C125" s="10" t="s">
        <v>18</v>
      </c>
      <c r="D125" s="10" t="s">
        <v>19</v>
      </c>
      <c r="E125" s="12">
        <v>94173</v>
      </c>
      <c r="F125" s="13">
        <v>52397</v>
      </c>
      <c r="G125" s="13">
        <v>42400</v>
      </c>
      <c r="H125" s="18">
        <f t="shared" si="1"/>
        <v>9997</v>
      </c>
      <c r="I125" s="14">
        <v>-0.19079336603240599</v>
      </c>
      <c r="J125" s="16" t="s">
        <v>21</v>
      </c>
      <c r="O125" s="15"/>
      <c r="Q125" s="17"/>
      <c r="R125" s="13"/>
      <c r="S125" s="1"/>
    </row>
    <row r="126" spans="1:19" x14ac:dyDescent="0.25">
      <c r="A126" s="10" t="s">
        <v>358</v>
      </c>
      <c r="B126" s="11" t="s">
        <v>17</v>
      </c>
      <c r="C126" s="10" t="s">
        <v>18</v>
      </c>
      <c r="D126" s="10" t="s">
        <v>19</v>
      </c>
      <c r="E126" s="12">
        <v>28459</v>
      </c>
      <c r="F126" s="13">
        <v>52397</v>
      </c>
      <c r="G126" s="13">
        <v>40000</v>
      </c>
      <c r="H126" s="18">
        <f t="shared" si="1"/>
        <v>12397</v>
      </c>
      <c r="I126" s="14">
        <v>-0.23659751512491201</v>
      </c>
      <c r="J126" s="16" t="s">
        <v>20</v>
      </c>
      <c r="O126" s="15"/>
      <c r="Q126" s="17"/>
      <c r="R126" s="13"/>
      <c r="S126" s="1"/>
    </row>
    <row r="127" spans="1:19" x14ac:dyDescent="0.25">
      <c r="A127" s="10" t="s">
        <v>373</v>
      </c>
      <c r="B127" s="11" t="s">
        <v>17</v>
      </c>
      <c r="C127" s="10" t="s">
        <v>18</v>
      </c>
      <c r="D127" s="10" t="s">
        <v>19</v>
      </c>
      <c r="E127" s="12">
        <v>74147</v>
      </c>
      <c r="F127" s="13">
        <v>52397</v>
      </c>
      <c r="G127" s="13">
        <v>45500</v>
      </c>
      <c r="H127" s="18">
        <f t="shared" si="1"/>
        <v>6897</v>
      </c>
      <c r="I127" s="14">
        <v>-0.13162967345458701</v>
      </c>
      <c r="J127" s="16" t="s">
        <v>20</v>
      </c>
      <c r="O127" s="15"/>
      <c r="Q127" s="17"/>
      <c r="R127" s="13"/>
      <c r="S127" s="1"/>
    </row>
    <row r="128" spans="1:19" x14ac:dyDescent="0.25">
      <c r="A128" s="10" t="s">
        <v>408</v>
      </c>
      <c r="B128" s="11" t="s">
        <v>17</v>
      </c>
      <c r="C128" s="10" t="s">
        <v>18</v>
      </c>
      <c r="D128" s="10" t="s">
        <v>19</v>
      </c>
      <c r="E128" s="12">
        <v>93001</v>
      </c>
      <c r="F128" s="13">
        <v>52397</v>
      </c>
      <c r="G128" s="13">
        <v>48200</v>
      </c>
      <c r="H128" s="18">
        <f t="shared" si="1"/>
        <v>4197</v>
      </c>
      <c r="I128" s="14">
        <v>-8.0100005725518703E-2</v>
      </c>
      <c r="J128" s="16" t="s">
        <v>21</v>
      </c>
      <c r="O128" s="15"/>
      <c r="Q128" s="17"/>
      <c r="R128" s="13"/>
      <c r="S128" s="1"/>
    </row>
    <row r="129" spans="1:19" hidden="1" x14ac:dyDescent="0.25">
      <c r="A129" s="10" t="s">
        <v>409</v>
      </c>
      <c r="B129" s="11" t="s">
        <v>17</v>
      </c>
      <c r="C129" s="10" t="s">
        <v>18</v>
      </c>
      <c r="D129" s="10" t="s">
        <v>12</v>
      </c>
      <c r="E129" s="12">
        <v>60694</v>
      </c>
      <c r="F129" s="13">
        <v>52397</v>
      </c>
      <c r="G129" s="13">
        <v>43000</v>
      </c>
      <c r="H129" s="18">
        <f t="shared" si="1"/>
        <v>9397</v>
      </c>
      <c r="I129" s="14">
        <v>-0.17934232875928</v>
      </c>
      <c r="J129" s="16" t="s">
        <v>14</v>
      </c>
      <c r="O129" s="15" t="s">
        <v>13</v>
      </c>
      <c r="Q129" s="17" t="s">
        <v>410</v>
      </c>
      <c r="R129" s="13">
        <v>-4725</v>
      </c>
      <c r="S129" s="1"/>
    </row>
    <row r="130" spans="1:19" x14ac:dyDescent="0.25">
      <c r="A130" s="10" t="s">
        <v>477</v>
      </c>
      <c r="B130" s="11" t="s">
        <v>17</v>
      </c>
      <c r="C130" s="10" t="s">
        <v>18</v>
      </c>
      <c r="D130" s="10" t="s">
        <v>19</v>
      </c>
      <c r="E130" s="12">
        <v>67638</v>
      </c>
      <c r="F130" s="13">
        <v>52397</v>
      </c>
      <c r="G130" s="13">
        <v>47400</v>
      </c>
      <c r="H130" s="18">
        <f t="shared" ref="H130:H193" si="2">F130-G130</f>
        <v>4997</v>
      </c>
      <c r="I130" s="14">
        <v>-9.5368055423020404E-2</v>
      </c>
      <c r="J130" s="16" t="s">
        <v>14</v>
      </c>
      <c r="O130" s="15"/>
      <c r="Q130" s="17"/>
      <c r="R130" s="13"/>
      <c r="S130" s="1"/>
    </row>
    <row r="131" spans="1:19" x14ac:dyDescent="0.25">
      <c r="A131" s="10" t="s">
        <v>478</v>
      </c>
      <c r="B131" s="11" t="s">
        <v>17</v>
      </c>
      <c r="C131" s="10" t="s">
        <v>18</v>
      </c>
      <c r="D131" s="10" t="s">
        <v>19</v>
      </c>
      <c r="E131" s="12">
        <v>45433</v>
      </c>
      <c r="F131" s="13">
        <v>52397</v>
      </c>
      <c r="G131" s="13">
        <v>45900</v>
      </c>
      <c r="H131" s="18">
        <f t="shared" si="2"/>
        <v>6497</v>
      </c>
      <c r="I131" s="14">
        <v>-0.12399564860583601</v>
      </c>
      <c r="J131" s="16" t="s">
        <v>21</v>
      </c>
      <c r="O131" s="15"/>
      <c r="Q131" s="17"/>
      <c r="R131" s="13"/>
      <c r="S131" s="1"/>
    </row>
    <row r="132" spans="1:19" hidden="1" x14ac:dyDescent="0.25">
      <c r="A132" s="10" t="s">
        <v>480</v>
      </c>
      <c r="B132" s="11" t="s">
        <v>17</v>
      </c>
      <c r="C132" s="10" t="s">
        <v>18</v>
      </c>
      <c r="D132" s="10" t="s">
        <v>19</v>
      </c>
      <c r="E132" s="12">
        <v>42571</v>
      </c>
      <c r="F132" s="13">
        <v>52397</v>
      </c>
      <c r="G132" s="13">
        <v>44900</v>
      </c>
      <c r="H132" s="18">
        <f t="shared" si="2"/>
        <v>7497</v>
      </c>
      <c r="I132" s="14">
        <v>-0.143080710727713</v>
      </c>
      <c r="J132" s="16" t="s">
        <v>23</v>
      </c>
      <c r="O132" s="15" t="s">
        <v>13</v>
      </c>
      <c r="Q132" s="17" t="s">
        <v>481</v>
      </c>
      <c r="R132" s="13">
        <v>-1530</v>
      </c>
      <c r="S132" s="1"/>
    </row>
    <row r="133" spans="1:19" x14ac:dyDescent="0.25">
      <c r="A133" s="10" t="s">
        <v>482</v>
      </c>
      <c r="B133" s="11" t="s">
        <v>17</v>
      </c>
      <c r="C133" s="10" t="s">
        <v>18</v>
      </c>
      <c r="D133" s="10" t="s">
        <v>19</v>
      </c>
      <c r="E133" s="12">
        <v>67150</v>
      </c>
      <c r="F133" s="13">
        <v>52397</v>
      </c>
      <c r="G133" s="13">
        <v>44200</v>
      </c>
      <c r="H133" s="18">
        <f t="shared" si="2"/>
        <v>8197</v>
      </c>
      <c r="I133" s="14">
        <v>-0.15644025421302701</v>
      </c>
      <c r="J133" s="16" t="s">
        <v>20</v>
      </c>
      <c r="O133" s="15"/>
      <c r="Q133" s="17"/>
      <c r="R133" s="13"/>
      <c r="S133" s="1"/>
    </row>
    <row r="134" spans="1:19" x14ac:dyDescent="0.25">
      <c r="A134" s="10" t="s">
        <v>483</v>
      </c>
      <c r="B134" s="11" t="s">
        <v>17</v>
      </c>
      <c r="C134" s="10" t="s">
        <v>18</v>
      </c>
      <c r="D134" s="10" t="s">
        <v>19</v>
      </c>
      <c r="E134" s="12">
        <v>67508</v>
      </c>
      <c r="F134" s="13">
        <v>52397</v>
      </c>
      <c r="G134" s="13">
        <v>43900</v>
      </c>
      <c r="H134" s="18">
        <f t="shared" si="2"/>
        <v>8497</v>
      </c>
      <c r="I134" s="14">
        <v>-0.16216577284959099</v>
      </c>
      <c r="J134" s="16" t="s">
        <v>20</v>
      </c>
      <c r="O134" s="15"/>
      <c r="Q134" s="17"/>
      <c r="R134" s="13"/>
      <c r="S134" s="1"/>
    </row>
    <row r="135" spans="1:19" hidden="1" x14ac:dyDescent="0.25">
      <c r="A135" s="10" t="s">
        <v>484</v>
      </c>
      <c r="B135" s="11" t="s">
        <v>17</v>
      </c>
      <c r="C135" s="10" t="s">
        <v>18</v>
      </c>
      <c r="D135" s="10" t="s">
        <v>19</v>
      </c>
      <c r="E135" s="12">
        <v>36888</v>
      </c>
      <c r="F135" s="13">
        <v>52397</v>
      </c>
      <c r="G135" s="13">
        <v>43000</v>
      </c>
      <c r="H135" s="18">
        <f t="shared" si="2"/>
        <v>9397</v>
      </c>
      <c r="I135" s="14">
        <v>-0.17934232875928</v>
      </c>
      <c r="J135" s="16" t="s">
        <v>23</v>
      </c>
      <c r="O135" s="15" t="s">
        <v>13</v>
      </c>
      <c r="Q135" s="17" t="s">
        <v>485</v>
      </c>
      <c r="R135" s="13">
        <v>-3451</v>
      </c>
      <c r="S135" s="1"/>
    </row>
    <row r="136" spans="1:19" hidden="1" x14ac:dyDescent="0.25">
      <c r="A136" s="10" t="s">
        <v>486</v>
      </c>
      <c r="B136" s="11" t="s">
        <v>17</v>
      </c>
      <c r="C136" s="10" t="s">
        <v>18</v>
      </c>
      <c r="D136" s="10" t="s">
        <v>19</v>
      </c>
      <c r="E136" s="12">
        <v>95082</v>
      </c>
      <c r="F136" s="13">
        <v>52397</v>
      </c>
      <c r="G136" s="13">
        <v>42300</v>
      </c>
      <c r="H136" s="18">
        <f t="shared" si="2"/>
        <v>10097</v>
      </c>
      <c r="I136" s="14">
        <v>-0.19270187224459401</v>
      </c>
      <c r="J136" s="16" t="s">
        <v>14</v>
      </c>
      <c r="O136" s="15" t="s">
        <v>13</v>
      </c>
      <c r="Q136" s="17" t="s">
        <v>487</v>
      </c>
      <c r="R136" s="13">
        <v>-3051</v>
      </c>
      <c r="S136" s="1"/>
    </row>
    <row r="137" spans="1:19" hidden="1" x14ac:dyDescent="0.25">
      <c r="A137" s="10" t="s">
        <v>488</v>
      </c>
      <c r="B137" s="11" t="s">
        <v>17</v>
      </c>
      <c r="C137" s="10" t="s">
        <v>18</v>
      </c>
      <c r="D137" s="10" t="s">
        <v>19</v>
      </c>
      <c r="E137" s="12">
        <v>60523</v>
      </c>
      <c r="F137" s="13">
        <v>52397</v>
      </c>
      <c r="G137" s="13">
        <v>42000</v>
      </c>
      <c r="H137" s="18">
        <f t="shared" si="2"/>
        <v>10397</v>
      </c>
      <c r="I137" s="14">
        <v>-0.19842739088115699</v>
      </c>
      <c r="J137" s="16" t="s">
        <v>23</v>
      </c>
      <c r="O137" s="15" t="s">
        <v>13</v>
      </c>
      <c r="Q137" s="17" t="s">
        <v>489</v>
      </c>
      <c r="R137" s="13">
        <v>-3555</v>
      </c>
      <c r="S137" s="1"/>
    </row>
    <row r="138" spans="1:19" x14ac:dyDescent="0.25">
      <c r="A138" s="10" t="s">
        <v>490</v>
      </c>
      <c r="B138" s="11" t="s">
        <v>17</v>
      </c>
      <c r="C138" s="10" t="s">
        <v>18</v>
      </c>
      <c r="D138" s="10" t="s">
        <v>19</v>
      </c>
      <c r="E138" s="12">
        <v>137539</v>
      </c>
      <c r="F138" s="13">
        <v>52397</v>
      </c>
      <c r="G138" s="13">
        <v>40900</v>
      </c>
      <c r="H138" s="18">
        <f t="shared" si="2"/>
        <v>11497</v>
      </c>
      <c r="I138" s="14">
        <v>-0.21942095921522201</v>
      </c>
      <c r="J138" s="16" t="s">
        <v>14</v>
      </c>
      <c r="O138" s="15"/>
      <c r="Q138" s="17"/>
      <c r="R138" s="13"/>
      <c r="S138" s="1"/>
    </row>
    <row r="139" spans="1:19" x14ac:dyDescent="0.25">
      <c r="A139" s="10" t="s">
        <v>491</v>
      </c>
      <c r="B139" s="11" t="s">
        <v>17</v>
      </c>
      <c r="C139" s="10" t="s">
        <v>18</v>
      </c>
      <c r="D139" s="10" t="s">
        <v>19</v>
      </c>
      <c r="E139" s="12">
        <v>62275</v>
      </c>
      <c r="F139" s="13">
        <v>52397</v>
      </c>
      <c r="G139" s="13">
        <v>39900</v>
      </c>
      <c r="H139" s="18">
        <f t="shared" si="2"/>
        <v>12497</v>
      </c>
      <c r="I139" s="14">
        <v>-0.238506021337099</v>
      </c>
      <c r="J139" s="16" t="s">
        <v>23</v>
      </c>
      <c r="O139" s="15"/>
      <c r="Q139" s="17"/>
      <c r="R139" s="13"/>
      <c r="S139" s="1"/>
    </row>
    <row r="140" spans="1:19" hidden="1" x14ac:dyDescent="0.25">
      <c r="A140" s="10" t="s">
        <v>492</v>
      </c>
      <c r="B140" s="11" t="s">
        <v>17</v>
      </c>
      <c r="C140" s="10" t="s">
        <v>18</v>
      </c>
      <c r="D140" s="10" t="s">
        <v>19</v>
      </c>
      <c r="E140" s="12">
        <v>79594</v>
      </c>
      <c r="F140" s="13">
        <v>52397</v>
      </c>
      <c r="G140" s="13">
        <v>39100</v>
      </c>
      <c r="H140" s="18">
        <f t="shared" si="2"/>
        <v>13297</v>
      </c>
      <c r="I140" s="14">
        <v>-0.25377407103460098</v>
      </c>
      <c r="J140" s="16" t="s">
        <v>23</v>
      </c>
      <c r="O140" s="15" t="s">
        <v>13</v>
      </c>
      <c r="Q140" s="17" t="s">
        <v>493</v>
      </c>
      <c r="R140" s="13">
        <v>-4896</v>
      </c>
      <c r="S140" s="1"/>
    </row>
    <row r="141" spans="1:19" hidden="1" x14ac:dyDescent="0.25">
      <c r="A141" s="10" t="s">
        <v>494</v>
      </c>
      <c r="B141" s="11" t="s">
        <v>17</v>
      </c>
      <c r="C141" s="10" t="s">
        <v>18</v>
      </c>
      <c r="D141" s="10" t="s">
        <v>19</v>
      </c>
      <c r="E141" s="12">
        <v>61639</v>
      </c>
      <c r="F141" s="13">
        <v>52397</v>
      </c>
      <c r="G141" s="13">
        <v>38400</v>
      </c>
      <c r="H141" s="18">
        <f t="shared" si="2"/>
        <v>13997</v>
      </c>
      <c r="I141" s="14">
        <v>-0.26713361451991502</v>
      </c>
      <c r="J141" s="16" t="s">
        <v>14</v>
      </c>
      <c r="O141" s="15" t="s">
        <v>13</v>
      </c>
      <c r="Q141" s="17" t="s">
        <v>495</v>
      </c>
      <c r="R141" s="13">
        <v>-7489</v>
      </c>
      <c r="S141" s="1"/>
    </row>
    <row r="142" spans="1:19" x14ac:dyDescent="0.25">
      <c r="A142" s="10" t="s">
        <v>518</v>
      </c>
      <c r="B142" s="11" t="s">
        <v>17</v>
      </c>
      <c r="C142" s="10" t="s">
        <v>45</v>
      </c>
      <c r="D142" s="10" t="s">
        <v>19</v>
      </c>
      <c r="E142" s="12">
        <v>62476</v>
      </c>
      <c r="F142" s="13">
        <v>57326</v>
      </c>
      <c r="G142" s="13">
        <v>52700</v>
      </c>
      <c r="H142" s="18">
        <f t="shared" si="2"/>
        <v>4626</v>
      </c>
      <c r="I142" s="14">
        <v>-8.06963681401109E-2</v>
      </c>
      <c r="J142" s="16" t="s">
        <v>21</v>
      </c>
      <c r="O142" s="15"/>
      <c r="Q142" s="17"/>
      <c r="R142" s="13"/>
      <c r="S142" s="1"/>
    </row>
    <row r="143" spans="1:19" x14ac:dyDescent="0.25">
      <c r="A143" s="10" t="s">
        <v>519</v>
      </c>
      <c r="B143" s="11" t="s">
        <v>17</v>
      </c>
      <c r="C143" s="10" t="s">
        <v>45</v>
      </c>
      <c r="D143" s="10" t="s">
        <v>12</v>
      </c>
      <c r="E143" s="12">
        <v>77817</v>
      </c>
      <c r="F143" s="13">
        <v>57326</v>
      </c>
      <c r="G143" s="13">
        <v>51200</v>
      </c>
      <c r="H143" s="18">
        <f t="shared" si="2"/>
        <v>6126</v>
      </c>
      <c r="I143" s="14">
        <v>-0.10686250566933</v>
      </c>
      <c r="J143" s="16" t="s">
        <v>20</v>
      </c>
      <c r="O143" s="15"/>
      <c r="Q143" s="17"/>
      <c r="R143" s="13"/>
      <c r="S143" s="1"/>
    </row>
    <row r="144" spans="1:19" x14ac:dyDescent="0.25">
      <c r="A144" s="10" t="s">
        <v>520</v>
      </c>
      <c r="B144" s="11" t="s">
        <v>17</v>
      </c>
      <c r="C144" s="10" t="s">
        <v>45</v>
      </c>
      <c r="D144" s="10" t="s">
        <v>19</v>
      </c>
      <c r="E144" s="12">
        <v>61315</v>
      </c>
      <c r="F144" s="13">
        <v>57326</v>
      </c>
      <c r="G144" s="13">
        <v>49500</v>
      </c>
      <c r="H144" s="18">
        <f t="shared" si="2"/>
        <v>7826</v>
      </c>
      <c r="I144" s="14">
        <v>-0.13651746153577801</v>
      </c>
      <c r="J144" s="16" t="s">
        <v>23</v>
      </c>
      <c r="O144" s="15"/>
      <c r="Q144" s="17"/>
      <c r="R144" s="13"/>
      <c r="S144" s="1"/>
    </row>
    <row r="145" spans="1:19" x14ac:dyDescent="0.25">
      <c r="A145" s="10" t="s">
        <v>521</v>
      </c>
      <c r="B145" s="11" t="s">
        <v>17</v>
      </c>
      <c r="C145" s="10" t="s">
        <v>45</v>
      </c>
      <c r="D145" s="10" t="s">
        <v>19</v>
      </c>
      <c r="E145" s="12">
        <v>84532</v>
      </c>
      <c r="F145" s="13">
        <v>57326</v>
      </c>
      <c r="G145" s="13">
        <v>48800</v>
      </c>
      <c r="H145" s="18">
        <f t="shared" si="2"/>
        <v>8526</v>
      </c>
      <c r="I145" s="14">
        <v>-0.14872832571608</v>
      </c>
      <c r="J145" s="16" t="s">
        <v>20</v>
      </c>
      <c r="O145" s="15"/>
      <c r="Q145" s="17"/>
      <c r="R145" s="13"/>
      <c r="S145" s="1"/>
    </row>
    <row r="146" spans="1:19" x14ac:dyDescent="0.25">
      <c r="A146" s="10" t="s">
        <v>522</v>
      </c>
      <c r="B146" s="11" t="s">
        <v>17</v>
      </c>
      <c r="C146" s="10" t="s">
        <v>45</v>
      </c>
      <c r="D146" s="10" t="s">
        <v>19</v>
      </c>
      <c r="E146" s="12">
        <v>39579</v>
      </c>
      <c r="F146" s="13">
        <v>57326</v>
      </c>
      <c r="G146" s="13">
        <v>47500</v>
      </c>
      <c r="H146" s="18">
        <f t="shared" si="2"/>
        <v>9826</v>
      </c>
      <c r="I146" s="14">
        <v>-0.17140564490807</v>
      </c>
      <c r="J146" s="16" t="s">
        <v>23</v>
      </c>
      <c r="O146" s="15"/>
      <c r="Q146" s="17"/>
      <c r="R146" s="13"/>
      <c r="S146" s="1"/>
    </row>
    <row r="147" spans="1:19" hidden="1" x14ac:dyDescent="0.25">
      <c r="A147" s="10" t="s">
        <v>523</v>
      </c>
      <c r="B147" s="11" t="s">
        <v>17</v>
      </c>
      <c r="C147" s="10" t="s">
        <v>45</v>
      </c>
      <c r="D147" s="10" t="s">
        <v>19</v>
      </c>
      <c r="E147" s="12">
        <v>56493</v>
      </c>
      <c r="F147" s="13">
        <v>57326</v>
      </c>
      <c r="G147" s="13">
        <v>45600</v>
      </c>
      <c r="H147" s="18">
        <f t="shared" si="2"/>
        <v>11726</v>
      </c>
      <c r="I147" s="14">
        <v>-0.20454941911174701</v>
      </c>
      <c r="J147" s="16" t="s">
        <v>23</v>
      </c>
      <c r="O147" s="15" t="s">
        <v>13</v>
      </c>
      <c r="Q147" s="17" t="s">
        <v>524</v>
      </c>
      <c r="R147" s="13">
        <v>-4186</v>
      </c>
      <c r="S147" s="1"/>
    </row>
    <row r="148" spans="1:19" x14ac:dyDescent="0.25">
      <c r="A148" s="10" t="s">
        <v>549</v>
      </c>
      <c r="B148" s="11" t="s">
        <v>17</v>
      </c>
      <c r="C148" s="10" t="s">
        <v>45</v>
      </c>
      <c r="D148" s="10" t="s">
        <v>19</v>
      </c>
      <c r="E148" s="12">
        <v>71646</v>
      </c>
      <c r="F148" s="13">
        <v>57326</v>
      </c>
      <c r="G148" s="13">
        <v>52700</v>
      </c>
      <c r="H148" s="18">
        <f t="shared" si="2"/>
        <v>4626</v>
      </c>
      <c r="I148" s="14">
        <v>-8.06963681401109E-2</v>
      </c>
      <c r="J148" s="16" t="s">
        <v>21</v>
      </c>
      <c r="O148" s="15"/>
      <c r="Q148" s="17"/>
      <c r="R148" s="13"/>
      <c r="S148" s="1"/>
    </row>
    <row r="149" spans="1:19" hidden="1" x14ac:dyDescent="0.25">
      <c r="A149" s="10" t="s">
        <v>552</v>
      </c>
      <c r="B149" s="11" t="s">
        <v>17</v>
      </c>
      <c r="C149" s="10" t="s">
        <v>45</v>
      </c>
      <c r="D149" s="10" t="s">
        <v>19</v>
      </c>
      <c r="E149" s="12">
        <v>69041</v>
      </c>
      <c r="F149" s="13">
        <v>57326</v>
      </c>
      <c r="G149" s="13">
        <v>48600</v>
      </c>
      <c r="H149" s="18">
        <f t="shared" si="2"/>
        <v>8726</v>
      </c>
      <c r="I149" s="14">
        <v>-0.15221714405330899</v>
      </c>
      <c r="J149" s="16" t="s">
        <v>21</v>
      </c>
      <c r="O149" s="15" t="s">
        <v>13</v>
      </c>
      <c r="Q149" s="17" t="s">
        <v>21</v>
      </c>
      <c r="R149" s="13">
        <v>-3377</v>
      </c>
      <c r="S149" s="1"/>
    </row>
    <row r="150" spans="1:19" x14ac:dyDescent="0.25">
      <c r="A150" s="10" t="s">
        <v>553</v>
      </c>
      <c r="B150" s="11" t="s">
        <v>17</v>
      </c>
      <c r="C150" s="10" t="s">
        <v>45</v>
      </c>
      <c r="D150" s="10" t="s">
        <v>19</v>
      </c>
      <c r="E150" s="12">
        <v>73839</v>
      </c>
      <c r="F150" s="13">
        <v>57326</v>
      </c>
      <c r="G150" s="13">
        <v>47100</v>
      </c>
      <c r="H150" s="18">
        <f t="shared" si="2"/>
        <v>10226</v>
      </c>
      <c r="I150" s="14">
        <v>-0.178383281582528</v>
      </c>
      <c r="J150" s="16" t="s">
        <v>20</v>
      </c>
      <c r="O150" s="15"/>
      <c r="Q150" s="17"/>
      <c r="R150" s="13"/>
      <c r="S150" s="1"/>
    </row>
    <row r="151" spans="1:19" hidden="1" x14ac:dyDescent="0.25">
      <c r="A151" s="10" t="s">
        <v>554</v>
      </c>
      <c r="B151" s="11" t="s">
        <v>17</v>
      </c>
      <c r="C151" s="10" t="s">
        <v>45</v>
      </c>
      <c r="D151" s="10" t="s">
        <v>12</v>
      </c>
      <c r="E151" s="12">
        <v>90751</v>
      </c>
      <c r="F151" s="13">
        <v>57326</v>
      </c>
      <c r="G151" s="13">
        <v>44700</v>
      </c>
      <c r="H151" s="18">
        <f t="shared" si="2"/>
        <v>12626</v>
      </c>
      <c r="I151" s="14">
        <v>-0.22024910162927799</v>
      </c>
      <c r="J151" s="16" t="s">
        <v>20</v>
      </c>
      <c r="O151" s="15" t="s">
        <v>13</v>
      </c>
      <c r="Q151" s="17" t="s">
        <v>555</v>
      </c>
      <c r="R151" s="13">
        <v>-5477</v>
      </c>
      <c r="S151" s="1"/>
    </row>
    <row r="152" spans="1:19" x14ac:dyDescent="0.25">
      <c r="A152" s="10" t="s">
        <v>635</v>
      </c>
      <c r="B152" s="11" t="s">
        <v>17</v>
      </c>
      <c r="C152" s="10" t="s">
        <v>45</v>
      </c>
      <c r="D152" s="10" t="s">
        <v>12</v>
      </c>
      <c r="E152" s="12">
        <v>67407</v>
      </c>
      <c r="F152" s="13">
        <v>57326</v>
      </c>
      <c r="G152" s="13">
        <v>48200</v>
      </c>
      <c r="H152" s="18">
        <f t="shared" si="2"/>
        <v>9126</v>
      </c>
      <c r="I152" s="14">
        <v>-0.15919478072776799</v>
      </c>
      <c r="J152" s="16" t="s">
        <v>21</v>
      </c>
      <c r="O152" s="15"/>
      <c r="Q152" s="17"/>
      <c r="R152" s="13"/>
      <c r="S152" s="1"/>
    </row>
    <row r="153" spans="1:19" hidden="1" x14ac:dyDescent="0.25">
      <c r="A153" s="10" t="s">
        <v>646</v>
      </c>
      <c r="B153" s="11" t="s">
        <v>17</v>
      </c>
      <c r="C153" s="10" t="s">
        <v>45</v>
      </c>
      <c r="D153" s="10" t="s">
        <v>19</v>
      </c>
      <c r="E153" s="12">
        <v>28965</v>
      </c>
      <c r="F153" s="13">
        <v>57326</v>
      </c>
      <c r="G153" s="13">
        <v>50300</v>
      </c>
      <c r="H153" s="18">
        <f t="shared" si="2"/>
        <v>7026</v>
      </c>
      <c r="I153" s="14">
        <v>-0.122562188186861</v>
      </c>
      <c r="J153" s="16" t="s">
        <v>21</v>
      </c>
      <c r="O153" s="15" t="s">
        <v>13</v>
      </c>
      <c r="Q153" s="17" t="s">
        <v>21</v>
      </c>
      <c r="R153" s="13">
        <v>-4535</v>
      </c>
      <c r="S153" s="1"/>
    </row>
    <row r="154" spans="1:19" x14ac:dyDescent="0.25">
      <c r="A154" s="10" t="s">
        <v>651</v>
      </c>
      <c r="B154" s="11" t="s">
        <v>17</v>
      </c>
      <c r="C154" s="10" t="s">
        <v>649</v>
      </c>
      <c r="D154" s="10" t="s">
        <v>19</v>
      </c>
      <c r="E154" s="12">
        <v>26257</v>
      </c>
      <c r="F154" s="13">
        <v>57326</v>
      </c>
      <c r="G154" s="13">
        <v>49200</v>
      </c>
      <c r="H154" s="18">
        <f t="shared" si="2"/>
        <v>8126</v>
      </c>
      <c r="I154" s="14">
        <v>-0.141750689041622</v>
      </c>
      <c r="J154" s="16" t="s">
        <v>23</v>
      </c>
      <c r="O154" s="15"/>
      <c r="Q154" s="17"/>
      <c r="R154" s="13"/>
      <c r="S154" s="1"/>
    </row>
    <row r="155" spans="1:19" hidden="1" x14ac:dyDescent="0.25">
      <c r="A155" s="10" t="s">
        <v>666</v>
      </c>
      <c r="B155" s="11" t="s">
        <v>17</v>
      </c>
      <c r="C155" s="10" t="s">
        <v>18</v>
      </c>
      <c r="D155" s="10" t="s">
        <v>19</v>
      </c>
      <c r="E155" s="12">
        <v>52789</v>
      </c>
      <c r="F155" s="13">
        <v>52397</v>
      </c>
      <c r="G155" s="13">
        <v>48300</v>
      </c>
      <c r="H155" s="18">
        <f t="shared" si="2"/>
        <v>4097</v>
      </c>
      <c r="I155" s="14">
        <v>-7.8191499513330903E-2</v>
      </c>
      <c r="J155" s="16" t="s">
        <v>20</v>
      </c>
      <c r="O155" s="15" t="s">
        <v>653</v>
      </c>
      <c r="Q155" s="17" t="s">
        <v>667</v>
      </c>
      <c r="R155" s="13">
        <v>0</v>
      </c>
      <c r="S155" s="1"/>
    </row>
    <row r="156" spans="1:19" hidden="1" x14ac:dyDescent="0.25">
      <c r="A156" s="10" t="s">
        <v>676</v>
      </c>
      <c r="B156" s="11" t="s">
        <v>17</v>
      </c>
      <c r="C156" s="10" t="s">
        <v>18</v>
      </c>
      <c r="D156" s="10" t="s">
        <v>19</v>
      </c>
      <c r="E156" s="12">
        <v>48573</v>
      </c>
      <c r="F156" s="13">
        <v>52397</v>
      </c>
      <c r="G156" s="13">
        <v>48300</v>
      </c>
      <c r="H156" s="18">
        <f t="shared" si="2"/>
        <v>4097</v>
      </c>
      <c r="I156" s="14">
        <v>-7.8191499513330903E-2</v>
      </c>
      <c r="J156" s="16" t="s">
        <v>14</v>
      </c>
      <c r="O156" s="15" t="s">
        <v>653</v>
      </c>
      <c r="Q156" s="17" t="s">
        <v>677</v>
      </c>
      <c r="R156" s="13">
        <v>0</v>
      </c>
      <c r="S156" s="1"/>
    </row>
    <row r="157" spans="1:19" hidden="1" x14ac:dyDescent="0.25">
      <c r="A157" s="10" t="s">
        <v>682</v>
      </c>
      <c r="B157" s="11" t="s">
        <v>17</v>
      </c>
      <c r="C157" s="10" t="s">
        <v>18</v>
      </c>
      <c r="D157" s="10" t="s">
        <v>19</v>
      </c>
      <c r="E157" s="12">
        <v>56134</v>
      </c>
      <c r="F157" s="13">
        <v>52397</v>
      </c>
      <c r="G157" s="13">
        <v>48300</v>
      </c>
      <c r="H157" s="18">
        <f t="shared" si="2"/>
        <v>4097</v>
      </c>
      <c r="I157" s="14">
        <v>-7.8191499513330903E-2</v>
      </c>
      <c r="J157" s="16" t="s">
        <v>14</v>
      </c>
      <c r="O157" s="15" t="s">
        <v>653</v>
      </c>
      <c r="Q157" s="17" t="s">
        <v>683</v>
      </c>
      <c r="R157" s="13">
        <v>0</v>
      </c>
      <c r="S157" s="1"/>
    </row>
    <row r="158" spans="1:19" hidden="1" x14ac:dyDescent="0.25">
      <c r="A158" s="10" t="s">
        <v>684</v>
      </c>
      <c r="B158" s="11" t="s">
        <v>17</v>
      </c>
      <c r="C158" s="10" t="s">
        <v>45</v>
      </c>
      <c r="D158" s="10" t="s">
        <v>12</v>
      </c>
      <c r="E158" s="12">
        <v>72925</v>
      </c>
      <c r="F158" s="13">
        <v>57326</v>
      </c>
      <c r="G158" s="13">
        <v>52800</v>
      </c>
      <c r="H158" s="18">
        <f t="shared" si="2"/>
        <v>4526</v>
      </c>
      <c r="I158" s="14">
        <v>-7.8951958971496303E-2</v>
      </c>
      <c r="J158" s="16" t="s">
        <v>20</v>
      </c>
      <c r="O158" s="15" t="s">
        <v>653</v>
      </c>
      <c r="Q158" s="17" t="s">
        <v>685</v>
      </c>
      <c r="R158" s="13">
        <v>0</v>
      </c>
      <c r="S158" s="1"/>
    </row>
    <row r="159" spans="1:19" hidden="1" x14ac:dyDescent="0.25">
      <c r="A159" s="10" t="s">
        <v>703</v>
      </c>
      <c r="B159" s="11" t="s">
        <v>17</v>
      </c>
      <c r="C159" s="10" t="s">
        <v>45</v>
      </c>
      <c r="D159" s="10" t="s">
        <v>19</v>
      </c>
      <c r="E159" s="12">
        <v>71312</v>
      </c>
      <c r="F159" s="13">
        <v>57326</v>
      </c>
      <c r="G159" s="13">
        <v>52800</v>
      </c>
      <c r="H159" s="18">
        <f t="shared" si="2"/>
        <v>4526</v>
      </c>
      <c r="I159" s="14">
        <v>-7.8951958971496303E-2</v>
      </c>
      <c r="J159" s="16" t="s">
        <v>20</v>
      </c>
      <c r="O159" s="15" t="s">
        <v>653</v>
      </c>
      <c r="Q159" s="17" t="s">
        <v>704</v>
      </c>
      <c r="R159" s="13">
        <v>0</v>
      </c>
      <c r="S159" s="1"/>
    </row>
    <row r="160" spans="1:19" hidden="1" x14ac:dyDescent="0.25">
      <c r="A160" s="10" t="s">
        <v>719</v>
      </c>
      <c r="B160" s="11" t="s">
        <v>17</v>
      </c>
      <c r="C160" s="10" t="s">
        <v>42</v>
      </c>
      <c r="D160" s="10" t="s">
        <v>19</v>
      </c>
      <c r="E160" s="12">
        <v>71333</v>
      </c>
      <c r="F160" s="13">
        <v>49397</v>
      </c>
      <c r="G160" s="13">
        <v>45500</v>
      </c>
      <c r="H160" s="18">
        <f t="shared" si="2"/>
        <v>3897</v>
      </c>
      <c r="I160" s="14">
        <v>-7.8891430653683398E-2</v>
      </c>
      <c r="J160" s="16" t="s">
        <v>14</v>
      </c>
      <c r="O160" s="15" t="s">
        <v>653</v>
      </c>
      <c r="Q160" s="17" t="s">
        <v>720</v>
      </c>
      <c r="R160" s="13">
        <v>0</v>
      </c>
      <c r="S160" s="1"/>
    </row>
    <row r="161" spans="1:19" hidden="1" x14ac:dyDescent="0.25">
      <c r="A161" s="10" t="s">
        <v>723</v>
      </c>
      <c r="B161" s="11" t="s">
        <v>17</v>
      </c>
      <c r="C161" s="10" t="s">
        <v>45</v>
      </c>
      <c r="D161" s="10" t="s">
        <v>12</v>
      </c>
      <c r="E161" s="12">
        <v>26256</v>
      </c>
      <c r="F161" s="13">
        <v>57326</v>
      </c>
      <c r="G161" s="13">
        <v>52800</v>
      </c>
      <c r="H161" s="18">
        <f t="shared" si="2"/>
        <v>4526</v>
      </c>
      <c r="I161" s="14">
        <v>-7.8951958971496303E-2</v>
      </c>
      <c r="J161" s="16" t="s">
        <v>14</v>
      </c>
      <c r="O161" s="15" t="s">
        <v>653</v>
      </c>
      <c r="Q161" s="17" t="s">
        <v>724</v>
      </c>
      <c r="R161" s="13">
        <v>0</v>
      </c>
      <c r="S161" s="1"/>
    </row>
    <row r="162" spans="1:19" hidden="1" x14ac:dyDescent="0.25">
      <c r="A162" s="10" t="s">
        <v>725</v>
      </c>
      <c r="B162" s="11" t="s">
        <v>17</v>
      </c>
      <c r="C162" s="10" t="s">
        <v>18</v>
      </c>
      <c r="D162" s="10" t="s">
        <v>31</v>
      </c>
      <c r="E162" s="12">
        <v>76386</v>
      </c>
      <c r="F162" s="13">
        <v>52397</v>
      </c>
      <c r="G162" s="13">
        <v>48300</v>
      </c>
      <c r="H162" s="18">
        <f t="shared" si="2"/>
        <v>4097</v>
      </c>
      <c r="I162" s="14">
        <v>-7.8191499513330903E-2</v>
      </c>
      <c r="J162" s="16" t="s">
        <v>20</v>
      </c>
      <c r="O162" s="15" t="s">
        <v>653</v>
      </c>
      <c r="Q162" s="17" t="s">
        <v>726</v>
      </c>
      <c r="R162" s="13">
        <v>0</v>
      </c>
      <c r="S162" s="1"/>
    </row>
    <row r="163" spans="1:19" hidden="1" x14ac:dyDescent="0.25">
      <c r="A163" s="10" t="s">
        <v>727</v>
      </c>
      <c r="B163" s="11" t="s">
        <v>17</v>
      </c>
      <c r="C163" s="10" t="s">
        <v>18</v>
      </c>
      <c r="D163" s="10" t="s">
        <v>19</v>
      </c>
      <c r="E163" s="12">
        <v>70262</v>
      </c>
      <c r="F163" s="13">
        <v>52397</v>
      </c>
      <c r="G163" s="13">
        <v>48300</v>
      </c>
      <c r="H163" s="18">
        <f t="shared" si="2"/>
        <v>4097</v>
      </c>
      <c r="I163" s="14">
        <v>-7.8191499513330903E-2</v>
      </c>
      <c r="J163" s="16" t="s">
        <v>20</v>
      </c>
      <c r="O163" s="15" t="s">
        <v>653</v>
      </c>
      <c r="Q163" s="17" t="s">
        <v>728</v>
      </c>
      <c r="R163" s="13">
        <v>0</v>
      </c>
      <c r="S163" s="1"/>
    </row>
    <row r="164" spans="1:19" hidden="1" x14ac:dyDescent="0.25">
      <c r="A164" s="10" t="s">
        <v>36</v>
      </c>
      <c r="B164" s="11" t="s">
        <v>37</v>
      </c>
      <c r="C164" s="10" t="s">
        <v>11</v>
      </c>
      <c r="D164" s="10" t="s">
        <v>12</v>
      </c>
      <c r="E164" s="12">
        <v>66108</v>
      </c>
      <c r="F164" s="13">
        <v>101985</v>
      </c>
      <c r="G164" s="13">
        <v>71400</v>
      </c>
      <c r="H164" s="18">
        <f t="shared" si="2"/>
        <v>30585</v>
      </c>
      <c r="I164" s="14">
        <v>-0.29989704368289399</v>
      </c>
      <c r="J164" s="16" t="s">
        <v>20</v>
      </c>
      <c r="O164" s="15" t="s">
        <v>13</v>
      </c>
      <c r="Q164" s="17" t="s">
        <v>38</v>
      </c>
      <c r="R164" s="13">
        <v>-15254</v>
      </c>
      <c r="S164" s="1"/>
    </row>
    <row r="165" spans="1:19" x14ac:dyDescent="0.25">
      <c r="A165" s="10" t="s">
        <v>349</v>
      </c>
      <c r="B165" s="11" t="s">
        <v>350</v>
      </c>
      <c r="C165" s="10" t="s">
        <v>18</v>
      </c>
      <c r="D165" s="10" t="s">
        <v>19</v>
      </c>
      <c r="E165" s="12">
        <v>32536</v>
      </c>
      <c r="F165" s="13">
        <v>62681</v>
      </c>
      <c r="G165" s="13">
        <v>51500</v>
      </c>
      <c r="H165" s="18">
        <f t="shared" si="2"/>
        <v>11181</v>
      </c>
      <c r="I165" s="14">
        <v>-0.178379413219317</v>
      </c>
      <c r="J165" s="16" t="s">
        <v>23</v>
      </c>
      <c r="O165" s="15"/>
      <c r="Q165" s="17"/>
      <c r="R165" s="13"/>
      <c r="S165" s="1"/>
    </row>
    <row r="166" spans="1:19" hidden="1" x14ac:dyDescent="0.25">
      <c r="A166" s="10" t="s">
        <v>151</v>
      </c>
      <c r="B166" s="11" t="s">
        <v>152</v>
      </c>
      <c r="C166" s="10" t="s">
        <v>42</v>
      </c>
      <c r="D166" s="10" t="s">
        <v>19</v>
      </c>
      <c r="E166" s="12">
        <v>67421</v>
      </c>
      <c r="F166" s="13">
        <v>56239</v>
      </c>
      <c r="G166" s="13">
        <v>47600</v>
      </c>
      <c r="H166" s="18">
        <f t="shared" si="2"/>
        <v>8639</v>
      </c>
      <c r="I166" s="14">
        <v>-0.15361226195344899</v>
      </c>
      <c r="J166" s="16" t="s">
        <v>20</v>
      </c>
      <c r="O166" s="15" t="s">
        <v>13</v>
      </c>
      <c r="Q166" s="17" t="s">
        <v>153</v>
      </c>
      <c r="R166" s="13">
        <v>-4151</v>
      </c>
      <c r="S166" s="1"/>
    </row>
    <row r="167" spans="1:19" hidden="1" x14ac:dyDescent="0.25">
      <c r="A167" s="10" t="s">
        <v>347</v>
      </c>
      <c r="B167" s="11" t="s">
        <v>152</v>
      </c>
      <c r="C167" s="10" t="s">
        <v>18</v>
      </c>
      <c r="D167" s="10" t="s">
        <v>12</v>
      </c>
      <c r="E167" s="12">
        <v>100826</v>
      </c>
      <c r="F167" s="13">
        <v>63790</v>
      </c>
      <c r="G167" s="13">
        <v>52100</v>
      </c>
      <c r="H167" s="18">
        <f t="shared" si="2"/>
        <v>11690</v>
      </c>
      <c r="I167" s="14">
        <v>-0.18325756388148601</v>
      </c>
      <c r="J167" s="16" t="s">
        <v>14</v>
      </c>
      <c r="O167" s="15" t="s">
        <v>13</v>
      </c>
      <c r="Q167" s="17" t="s">
        <v>348</v>
      </c>
      <c r="R167" s="13">
        <v>-3417</v>
      </c>
      <c r="S167" s="1"/>
    </row>
    <row r="168" spans="1:19" x14ac:dyDescent="0.25">
      <c r="A168" s="10" t="s">
        <v>351</v>
      </c>
      <c r="B168" s="11" t="s">
        <v>152</v>
      </c>
      <c r="C168" s="10" t="s">
        <v>18</v>
      </c>
      <c r="D168" s="10" t="s">
        <v>19</v>
      </c>
      <c r="E168" s="12">
        <v>95250</v>
      </c>
      <c r="F168" s="13">
        <v>63790</v>
      </c>
      <c r="G168" s="13">
        <v>51000</v>
      </c>
      <c r="H168" s="18">
        <f t="shared" si="2"/>
        <v>12790</v>
      </c>
      <c r="I168" s="14">
        <v>-0.20050164602602299</v>
      </c>
      <c r="J168" s="16" t="s">
        <v>20</v>
      </c>
      <c r="O168" s="15"/>
      <c r="Q168" s="17"/>
      <c r="R168" s="13"/>
      <c r="S168" s="1"/>
    </row>
    <row r="169" spans="1:19" x14ac:dyDescent="0.25">
      <c r="A169" s="10" t="s">
        <v>407</v>
      </c>
      <c r="B169" s="11" t="s">
        <v>152</v>
      </c>
      <c r="C169" s="10" t="s">
        <v>18</v>
      </c>
      <c r="D169" s="10" t="s">
        <v>26</v>
      </c>
      <c r="E169" s="12">
        <v>80953</v>
      </c>
      <c r="F169" s="13">
        <v>63790</v>
      </c>
      <c r="G169" s="13">
        <v>52600</v>
      </c>
      <c r="H169" s="18">
        <f t="shared" si="2"/>
        <v>11190</v>
      </c>
      <c r="I169" s="14">
        <v>-0.17541934472487899</v>
      </c>
      <c r="J169" s="16" t="s">
        <v>23</v>
      </c>
      <c r="O169" s="15"/>
      <c r="Q169" s="17"/>
      <c r="R169" s="13"/>
      <c r="S169" s="1"/>
    </row>
    <row r="170" spans="1:19" hidden="1" x14ac:dyDescent="0.25">
      <c r="A170" s="10" t="s">
        <v>626</v>
      </c>
      <c r="B170" s="11" t="s">
        <v>152</v>
      </c>
      <c r="C170" s="10" t="s">
        <v>45</v>
      </c>
      <c r="D170" s="10" t="s">
        <v>12</v>
      </c>
      <c r="E170" s="12">
        <v>35170</v>
      </c>
      <c r="F170" s="13">
        <v>77615</v>
      </c>
      <c r="G170" s="13">
        <v>69600</v>
      </c>
      <c r="H170" s="18">
        <f t="shared" si="2"/>
        <v>8015</v>
      </c>
      <c r="I170" s="14">
        <v>-0.103266121239451</v>
      </c>
      <c r="J170" s="16" t="s">
        <v>20</v>
      </c>
      <c r="O170" s="15" t="s">
        <v>13</v>
      </c>
      <c r="Q170" s="17" t="s">
        <v>627</v>
      </c>
      <c r="R170" s="13">
        <v>-1752</v>
      </c>
      <c r="S170" s="1"/>
    </row>
    <row r="171" spans="1:19" hidden="1" x14ac:dyDescent="0.25">
      <c r="A171" s="10" t="s">
        <v>631</v>
      </c>
      <c r="B171" s="11" t="s">
        <v>152</v>
      </c>
      <c r="C171" s="10" t="s">
        <v>45</v>
      </c>
      <c r="D171" s="10" t="s">
        <v>19</v>
      </c>
      <c r="E171" s="12">
        <v>70427</v>
      </c>
      <c r="F171" s="13">
        <v>77615</v>
      </c>
      <c r="G171" s="13">
        <v>60100</v>
      </c>
      <c r="H171" s="18">
        <f t="shared" si="2"/>
        <v>17515</v>
      </c>
      <c r="I171" s="14">
        <v>-0.22566514204728499</v>
      </c>
      <c r="J171" s="16" t="s">
        <v>14</v>
      </c>
      <c r="O171" s="15" t="s">
        <v>13</v>
      </c>
      <c r="Q171" s="17" t="s">
        <v>632</v>
      </c>
      <c r="R171" s="13">
        <v>-7095</v>
      </c>
      <c r="S171" s="1"/>
    </row>
    <row r="172" spans="1:19" hidden="1" x14ac:dyDescent="0.25">
      <c r="A172" s="10" t="s">
        <v>652</v>
      </c>
      <c r="B172" s="11" t="s">
        <v>152</v>
      </c>
      <c r="C172" s="10" t="s">
        <v>45</v>
      </c>
      <c r="D172" s="10" t="s">
        <v>19</v>
      </c>
      <c r="E172" s="12">
        <v>30146</v>
      </c>
      <c r="F172" s="13">
        <v>77615</v>
      </c>
      <c r="G172" s="13">
        <v>71500</v>
      </c>
      <c r="H172" s="18">
        <f t="shared" si="2"/>
        <v>6115</v>
      </c>
      <c r="I172" s="14">
        <v>-7.8786317077884402E-2</v>
      </c>
      <c r="J172" s="16" t="s">
        <v>20</v>
      </c>
      <c r="O172" s="15" t="s">
        <v>653</v>
      </c>
      <c r="Q172" s="17" t="s">
        <v>654</v>
      </c>
      <c r="R172" s="13">
        <v>0</v>
      </c>
      <c r="S172" s="1"/>
    </row>
    <row r="173" spans="1:19" hidden="1" x14ac:dyDescent="0.25">
      <c r="A173" s="10" t="s">
        <v>655</v>
      </c>
      <c r="B173" s="11" t="s">
        <v>152</v>
      </c>
      <c r="C173" s="10" t="s">
        <v>18</v>
      </c>
      <c r="D173" s="10" t="s">
        <v>19</v>
      </c>
      <c r="E173" s="12">
        <v>74368</v>
      </c>
      <c r="F173" s="13">
        <v>63790</v>
      </c>
      <c r="G173" s="13">
        <v>58700</v>
      </c>
      <c r="H173" s="18">
        <f t="shared" si="2"/>
        <v>5090</v>
      </c>
      <c r="I173" s="14">
        <v>-7.9793071014265596E-2</v>
      </c>
      <c r="J173" s="16" t="s">
        <v>20</v>
      </c>
      <c r="O173" s="15" t="s">
        <v>653</v>
      </c>
      <c r="Q173" s="17" t="s">
        <v>656</v>
      </c>
      <c r="R173" s="13">
        <v>0</v>
      </c>
      <c r="S173" s="1"/>
    </row>
    <row r="174" spans="1:19" hidden="1" x14ac:dyDescent="0.25">
      <c r="A174" s="10" t="s">
        <v>662</v>
      </c>
      <c r="B174" s="11" t="s">
        <v>152</v>
      </c>
      <c r="C174" s="10" t="s">
        <v>45</v>
      </c>
      <c r="D174" s="10" t="s">
        <v>19</v>
      </c>
      <c r="E174" s="12">
        <v>46643</v>
      </c>
      <c r="F174" s="13">
        <v>77615</v>
      </c>
      <c r="G174" s="13">
        <v>71500</v>
      </c>
      <c r="H174" s="18">
        <f t="shared" si="2"/>
        <v>6115</v>
      </c>
      <c r="I174" s="14">
        <v>-7.8786317077884402E-2</v>
      </c>
      <c r="J174" s="16" t="s">
        <v>20</v>
      </c>
      <c r="O174" s="15" t="s">
        <v>653</v>
      </c>
      <c r="Q174" s="17" t="s">
        <v>663</v>
      </c>
      <c r="R174" s="13">
        <v>0</v>
      </c>
      <c r="S174" s="1"/>
    </row>
    <row r="175" spans="1:19" hidden="1" x14ac:dyDescent="0.25">
      <c r="A175" s="10" t="s">
        <v>670</v>
      </c>
      <c r="B175" s="11" t="s">
        <v>152</v>
      </c>
      <c r="C175" s="10" t="s">
        <v>45</v>
      </c>
      <c r="D175" s="10" t="s">
        <v>19</v>
      </c>
      <c r="E175" s="12">
        <v>30293</v>
      </c>
      <c r="F175" s="13">
        <v>77615</v>
      </c>
      <c r="G175" s="13">
        <v>71500</v>
      </c>
      <c r="H175" s="18">
        <f t="shared" si="2"/>
        <v>6115</v>
      </c>
      <c r="I175" s="14">
        <v>-7.8786317077884402E-2</v>
      </c>
      <c r="J175" s="16" t="s">
        <v>20</v>
      </c>
      <c r="O175" s="15" t="s">
        <v>653</v>
      </c>
      <c r="Q175" s="17" t="s">
        <v>671</v>
      </c>
      <c r="R175" s="13">
        <v>0</v>
      </c>
      <c r="S175" s="1"/>
    </row>
    <row r="176" spans="1:19" hidden="1" x14ac:dyDescent="0.25">
      <c r="A176" s="10" t="s">
        <v>705</v>
      </c>
      <c r="B176" s="11" t="s">
        <v>152</v>
      </c>
      <c r="C176" s="10" t="s">
        <v>45</v>
      </c>
      <c r="D176" s="10" t="s">
        <v>19</v>
      </c>
      <c r="E176" s="12">
        <v>32065</v>
      </c>
      <c r="F176" s="13">
        <v>77615</v>
      </c>
      <c r="G176" s="13">
        <v>71500</v>
      </c>
      <c r="H176" s="18">
        <f t="shared" si="2"/>
        <v>6115</v>
      </c>
      <c r="I176" s="14">
        <v>-7.8786317077884402E-2</v>
      </c>
      <c r="J176" s="16" t="s">
        <v>20</v>
      </c>
      <c r="O176" s="15" t="s">
        <v>653</v>
      </c>
      <c r="Q176" s="17" t="s">
        <v>706</v>
      </c>
      <c r="R176" s="13">
        <v>0</v>
      </c>
      <c r="S176" s="1"/>
    </row>
    <row r="177" spans="1:19" hidden="1" x14ac:dyDescent="0.25">
      <c r="A177" s="10" t="s">
        <v>9</v>
      </c>
      <c r="B177" s="11" t="s">
        <v>10</v>
      </c>
      <c r="C177" s="10" t="s">
        <v>11</v>
      </c>
      <c r="D177" s="10" t="s">
        <v>12</v>
      </c>
      <c r="E177" s="12">
        <v>47210</v>
      </c>
      <c r="F177" s="13">
        <v>49070</v>
      </c>
      <c r="G177" s="13">
        <v>39100</v>
      </c>
      <c r="H177" s="18">
        <f t="shared" si="2"/>
        <v>9970</v>
      </c>
      <c r="I177" s="14">
        <v>-0.20317913185245601</v>
      </c>
      <c r="J177" s="16" t="s">
        <v>14</v>
      </c>
      <c r="O177" s="15" t="s">
        <v>13</v>
      </c>
      <c r="Q177" s="17" t="s">
        <v>15</v>
      </c>
      <c r="R177" s="13">
        <v>-3341</v>
      </c>
      <c r="S177" s="1"/>
    </row>
    <row r="178" spans="1:19" x14ac:dyDescent="0.25">
      <c r="A178" s="10" t="s">
        <v>22</v>
      </c>
      <c r="B178" s="11" t="s">
        <v>10</v>
      </c>
      <c r="C178" s="10" t="s">
        <v>18</v>
      </c>
      <c r="D178" s="10" t="s">
        <v>19</v>
      </c>
      <c r="E178" s="12">
        <v>65394</v>
      </c>
      <c r="F178" s="13">
        <v>56486</v>
      </c>
      <c r="G178" s="13">
        <v>45300</v>
      </c>
      <c r="H178" s="18">
        <f t="shared" si="2"/>
        <v>11186</v>
      </c>
      <c r="I178" s="14">
        <v>-0.19803137060510601</v>
      </c>
      <c r="J178" s="16" t="s">
        <v>23</v>
      </c>
      <c r="O178" s="15"/>
      <c r="Q178" s="17"/>
      <c r="R178" s="13"/>
      <c r="S178" s="1"/>
    </row>
    <row r="179" spans="1:19" hidden="1" x14ac:dyDescent="0.25">
      <c r="A179" s="10" t="s">
        <v>80</v>
      </c>
      <c r="B179" s="11" t="s">
        <v>10</v>
      </c>
      <c r="C179" s="10" t="s">
        <v>81</v>
      </c>
      <c r="D179" s="10" t="s">
        <v>19</v>
      </c>
      <c r="E179" s="12">
        <v>68128</v>
      </c>
      <c r="F179" s="13">
        <v>44303</v>
      </c>
      <c r="G179" s="13">
        <v>37800</v>
      </c>
      <c r="H179" s="18">
        <f t="shared" si="2"/>
        <v>6503</v>
      </c>
      <c r="I179" s="14">
        <v>-0.14678464212355799</v>
      </c>
      <c r="J179" s="16" t="s">
        <v>21</v>
      </c>
      <c r="O179" s="15" t="s">
        <v>13</v>
      </c>
      <c r="Q179" s="17" t="s">
        <v>21</v>
      </c>
      <c r="R179" s="13">
        <v>-4406</v>
      </c>
      <c r="S179" s="1"/>
    </row>
    <row r="180" spans="1:19" x14ac:dyDescent="0.25">
      <c r="A180" s="10" t="s">
        <v>91</v>
      </c>
      <c r="B180" s="11" t="s">
        <v>10</v>
      </c>
      <c r="C180" s="10" t="s">
        <v>81</v>
      </c>
      <c r="D180" s="10" t="s">
        <v>19</v>
      </c>
      <c r="E180" s="12">
        <v>55102</v>
      </c>
      <c r="F180" s="13">
        <v>44303</v>
      </c>
      <c r="G180" s="13">
        <v>31100</v>
      </c>
      <c r="H180" s="18">
        <f t="shared" si="2"/>
        <v>13203</v>
      </c>
      <c r="I180" s="14">
        <v>-0.29801593571541402</v>
      </c>
      <c r="J180" s="16" t="s">
        <v>23</v>
      </c>
      <c r="O180" s="15"/>
      <c r="Q180" s="17"/>
      <c r="R180" s="13"/>
      <c r="S180" s="1"/>
    </row>
    <row r="181" spans="1:19" hidden="1" x14ac:dyDescent="0.25">
      <c r="A181" s="10" t="s">
        <v>92</v>
      </c>
      <c r="B181" s="11" t="s">
        <v>10</v>
      </c>
      <c r="C181" s="10" t="s">
        <v>81</v>
      </c>
      <c r="D181" s="10" t="s">
        <v>19</v>
      </c>
      <c r="E181" s="12">
        <v>24969</v>
      </c>
      <c r="F181" s="13">
        <v>44303</v>
      </c>
      <c r="G181" s="13">
        <v>35100</v>
      </c>
      <c r="H181" s="18">
        <f t="shared" si="2"/>
        <v>9203</v>
      </c>
      <c r="I181" s="14">
        <v>-0.20772859625758999</v>
      </c>
      <c r="J181" s="16" t="s">
        <v>23</v>
      </c>
      <c r="O181" s="15" t="s">
        <v>13</v>
      </c>
      <c r="Q181" s="17" t="s">
        <v>93</v>
      </c>
      <c r="R181" s="13">
        <v>-4525</v>
      </c>
      <c r="S181" s="1"/>
    </row>
    <row r="182" spans="1:19" hidden="1" x14ac:dyDescent="0.25">
      <c r="A182" s="10" t="s">
        <v>104</v>
      </c>
      <c r="B182" s="11" t="s">
        <v>10</v>
      </c>
      <c r="C182" s="10" t="s">
        <v>98</v>
      </c>
      <c r="D182" s="10" t="s">
        <v>19</v>
      </c>
      <c r="E182" s="12">
        <v>111416</v>
      </c>
      <c r="F182" s="13">
        <v>45411</v>
      </c>
      <c r="G182" s="13">
        <v>42400</v>
      </c>
      <c r="H182" s="18">
        <f t="shared" si="2"/>
        <v>3011</v>
      </c>
      <c r="I182" s="14">
        <v>-6.6305520688819897E-2</v>
      </c>
      <c r="J182" s="16" t="s">
        <v>21</v>
      </c>
      <c r="O182" s="15" t="s">
        <v>13</v>
      </c>
      <c r="Q182" s="17" t="s">
        <v>21</v>
      </c>
      <c r="R182" s="13">
        <v>0</v>
      </c>
      <c r="S182" s="1"/>
    </row>
    <row r="183" spans="1:19" hidden="1" x14ac:dyDescent="0.25">
      <c r="A183" s="10" t="s">
        <v>105</v>
      </c>
      <c r="B183" s="11" t="s">
        <v>10</v>
      </c>
      <c r="C183" s="10" t="s">
        <v>103</v>
      </c>
      <c r="D183" s="10" t="s">
        <v>19</v>
      </c>
      <c r="E183" s="12">
        <v>105336</v>
      </c>
      <c r="F183" s="13">
        <v>45411</v>
      </c>
      <c r="G183" s="13">
        <v>43000</v>
      </c>
      <c r="H183" s="18">
        <f t="shared" si="2"/>
        <v>2411</v>
      </c>
      <c r="I183" s="14">
        <v>-5.3092862962718299E-2</v>
      </c>
      <c r="J183" s="16" t="s">
        <v>21</v>
      </c>
      <c r="O183" s="15" t="s">
        <v>13</v>
      </c>
      <c r="Q183" s="17" t="s">
        <v>21</v>
      </c>
      <c r="R183" s="13">
        <v>0</v>
      </c>
      <c r="S183" s="1"/>
    </row>
    <row r="184" spans="1:19" hidden="1" x14ac:dyDescent="0.25">
      <c r="A184" s="10" t="s">
        <v>106</v>
      </c>
      <c r="B184" s="11" t="s">
        <v>10</v>
      </c>
      <c r="C184" s="10" t="s">
        <v>103</v>
      </c>
      <c r="D184" s="10" t="s">
        <v>19</v>
      </c>
      <c r="E184" s="12">
        <v>70906</v>
      </c>
      <c r="F184" s="13">
        <v>45411</v>
      </c>
      <c r="G184" s="13">
        <v>38800</v>
      </c>
      <c r="H184" s="18">
        <f t="shared" si="2"/>
        <v>6611</v>
      </c>
      <c r="I184" s="14">
        <v>-0.14558146704543001</v>
      </c>
      <c r="J184" s="16" t="s">
        <v>23</v>
      </c>
      <c r="O184" s="15" t="s">
        <v>13</v>
      </c>
      <c r="Q184" s="17" t="s">
        <v>107</v>
      </c>
      <c r="R184" s="13">
        <v>-2490</v>
      </c>
      <c r="S184" s="1"/>
    </row>
    <row r="185" spans="1:19" hidden="1" x14ac:dyDescent="0.25">
      <c r="A185" s="10" t="s">
        <v>108</v>
      </c>
      <c r="B185" s="11" t="s">
        <v>10</v>
      </c>
      <c r="C185" s="10" t="s">
        <v>103</v>
      </c>
      <c r="D185" s="10" t="s">
        <v>19</v>
      </c>
      <c r="E185" s="12">
        <v>144358</v>
      </c>
      <c r="F185" s="13">
        <v>45411</v>
      </c>
      <c r="G185" s="13">
        <v>36300</v>
      </c>
      <c r="H185" s="18">
        <f t="shared" si="2"/>
        <v>9111</v>
      </c>
      <c r="I185" s="14">
        <v>-0.20063420757085301</v>
      </c>
      <c r="J185" s="16" t="s">
        <v>14</v>
      </c>
      <c r="O185" s="15" t="s">
        <v>13</v>
      </c>
      <c r="Q185" s="17" t="s">
        <v>109</v>
      </c>
      <c r="R185" s="13">
        <v>-4442</v>
      </c>
      <c r="S185" s="1"/>
    </row>
    <row r="186" spans="1:19" hidden="1" x14ac:dyDescent="0.25">
      <c r="A186" s="10" t="s">
        <v>110</v>
      </c>
      <c r="B186" s="11" t="s">
        <v>10</v>
      </c>
      <c r="C186" s="10" t="s">
        <v>103</v>
      </c>
      <c r="D186" s="10" t="s">
        <v>12</v>
      </c>
      <c r="E186" s="12">
        <v>166902</v>
      </c>
      <c r="F186" s="13">
        <v>45411</v>
      </c>
      <c r="G186" s="13">
        <v>32600</v>
      </c>
      <c r="H186" s="18">
        <f t="shared" si="2"/>
        <v>12811</v>
      </c>
      <c r="I186" s="14">
        <v>-0.28211226354847901</v>
      </c>
      <c r="J186" s="16" t="s">
        <v>14</v>
      </c>
      <c r="O186" s="15" t="s">
        <v>13</v>
      </c>
      <c r="Q186" s="17" t="s">
        <v>111</v>
      </c>
      <c r="R186" s="13">
        <v>-6772</v>
      </c>
      <c r="S186" s="1"/>
    </row>
    <row r="187" spans="1:19" hidden="1" x14ac:dyDescent="0.25">
      <c r="A187" s="10" t="s">
        <v>112</v>
      </c>
      <c r="B187" s="11" t="s">
        <v>10</v>
      </c>
      <c r="C187" s="10" t="s">
        <v>103</v>
      </c>
      <c r="D187" s="10" t="s">
        <v>19</v>
      </c>
      <c r="E187" s="12">
        <v>45588</v>
      </c>
      <c r="F187" s="13">
        <v>45411</v>
      </c>
      <c r="G187" s="13">
        <v>34400</v>
      </c>
      <c r="H187" s="18">
        <f t="shared" si="2"/>
        <v>11011</v>
      </c>
      <c r="I187" s="14">
        <v>-0.24247429037017501</v>
      </c>
      <c r="J187" s="16" t="s">
        <v>20</v>
      </c>
      <c r="O187" s="15" t="s">
        <v>13</v>
      </c>
      <c r="Q187" s="17" t="s">
        <v>113</v>
      </c>
      <c r="R187" s="13">
        <v>-8819</v>
      </c>
      <c r="S187" s="1"/>
    </row>
    <row r="188" spans="1:19" hidden="1" x14ac:dyDescent="0.25">
      <c r="A188" s="10" t="s">
        <v>123</v>
      </c>
      <c r="B188" s="11" t="s">
        <v>10</v>
      </c>
      <c r="C188" s="10" t="s">
        <v>11</v>
      </c>
      <c r="D188" s="10" t="s">
        <v>12</v>
      </c>
      <c r="E188" s="12">
        <v>82710</v>
      </c>
      <c r="F188" s="13">
        <v>49070</v>
      </c>
      <c r="G188" s="13">
        <v>37500</v>
      </c>
      <c r="H188" s="18">
        <f t="shared" si="2"/>
        <v>11570</v>
      </c>
      <c r="I188" s="14">
        <v>-0.235785612390463</v>
      </c>
      <c r="J188" s="16" t="s">
        <v>14</v>
      </c>
      <c r="O188" s="15" t="s">
        <v>13</v>
      </c>
      <c r="Q188" s="17" t="s">
        <v>124</v>
      </c>
      <c r="R188" s="13">
        <v>-6305</v>
      </c>
      <c r="S188" s="1"/>
    </row>
    <row r="189" spans="1:19" hidden="1" x14ac:dyDescent="0.25">
      <c r="A189" s="10" t="s">
        <v>125</v>
      </c>
      <c r="B189" s="11" t="s">
        <v>10</v>
      </c>
      <c r="C189" s="10" t="s">
        <v>11</v>
      </c>
      <c r="D189" s="10" t="s">
        <v>12</v>
      </c>
      <c r="E189" s="12">
        <v>90703</v>
      </c>
      <c r="F189" s="13">
        <v>49070</v>
      </c>
      <c r="G189" s="13">
        <v>37200</v>
      </c>
      <c r="H189" s="18">
        <f t="shared" si="2"/>
        <v>11870</v>
      </c>
      <c r="I189" s="14">
        <v>-0.24189932749133899</v>
      </c>
      <c r="J189" s="16" t="s">
        <v>23</v>
      </c>
      <c r="O189" s="15" t="s">
        <v>13</v>
      </c>
      <c r="Q189" s="17" t="s">
        <v>126</v>
      </c>
      <c r="R189" s="13">
        <v>-4807</v>
      </c>
      <c r="S189" s="1"/>
    </row>
    <row r="190" spans="1:19" hidden="1" x14ac:dyDescent="0.25">
      <c r="A190" s="10" t="s">
        <v>127</v>
      </c>
      <c r="B190" s="11" t="s">
        <v>10</v>
      </c>
      <c r="C190" s="10" t="s">
        <v>11</v>
      </c>
      <c r="D190" s="10" t="s">
        <v>12</v>
      </c>
      <c r="E190" s="12">
        <v>89236</v>
      </c>
      <c r="F190" s="13">
        <v>49070</v>
      </c>
      <c r="G190" s="13">
        <v>36000</v>
      </c>
      <c r="H190" s="18">
        <f t="shared" si="2"/>
        <v>13070</v>
      </c>
      <c r="I190" s="14">
        <v>-0.266354187894844</v>
      </c>
      <c r="J190" s="16" t="s">
        <v>23</v>
      </c>
      <c r="O190" s="15" t="s">
        <v>13</v>
      </c>
      <c r="Q190" s="17" t="s">
        <v>128</v>
      </c>
      <c r="R190" s="13">
        <v>-6436</v>
      </c>
      <c r="S190" s="1"/>
    </row>
    <row r="191" spans="1:19" hidden="1" x14ac:dyDescent="0.25">
      <c r="A191" s="10" t="s">
        <v>129</v>
      </c>
      <c r="B191" s="11" t="s">
        <v>10</v>
      </c>
      <c r="C191" s="10" t="s">
        <v>11</v>
      </c>
      <c r="D191" s="10" t="s">
        <v>12</v>
      </c>
      <c r="E191" s="12">
        <v>96389</v>
      </c>
      <c r="F191" s="13">
        <v>49070</v>
      </c>
      <c r="G191" s="13">
        <v>34600</v>
      </c>
      <c r="H191" s="18">
        <f t="shared" si="2"/>
        <v>14470</v>
      </c>
      <c r="I191" s="14">
        <v>-0.29488485836560002</v>
      </c>
      <c r="J191" s="16" t="s">
        <v>23</v>
      </c>
      <c r="O191" s="15" t="s">
        <v>13</v>
      </c>
      <c r="Q191" s="17" t="s">
        <v>130</v>
      </c>
      <c r="R191" s="13">
        <v>-7800</v>
      </c>
      <c r="S191" s="1"/>
    </row>
    <row r="192" spans="1:19" x14ac:dyDescent="0.25">
      <c r="A192" s="10" t="s">
        <v>287</v>
      </c>
      <c r="B192" s="11" t="s">
        <v>10</v>
      </c>
      <c r="C192" s="10" t="s">
        <v>285</v>
      </c>
      <c r="D192" s="10" t="s">
        <v>19</v>
      </c>
      <c r="E192" s="12">
        <v>54458</v>
      </c>
      <c r="F192" s="13">
        <v>52862</v>
      </c>
      <c r="G192" s="13">
        <v>50600</v>
      </c>
      <c r="H192" s="18">
        <f t="shared" si="2"/>
        <v>2262</v>
      </c>
      <c r="I192" s="14">
        <v>-4.2790662479664003E-2</v>
      </c>
      <c r="J192" s="16" t="s">
        <v>21</v>
      </c>
      <c r="O192" s="15"/>
      <c r="Q192" s="17"/>
      <c r="R192" s="13"/>
      <c r="S192" s="1"/>
    </row>
    <row r="193" spans="1:19" hidden="1" x14ac:dyDescent="0.25">
      <c r="A193" s="10" t="s">
        <v>290</v>
      </c>
      <c r="B193" s="11" t="s">
        <v>10</v>
      </c>
      <c r="C193" s="10" t="s">
        <v>285</v>
      </c>
      <c r="D193" s="10" t="s">
        <v>19</v>
      </c>
      <c r="E193" s="12">
        <v>129053</v>
      </c>
      <c r="F193" s="13">
        <v>52862</v>
      </c>
      <c r="G193" s="13">
        <v>48100</v>
      </c>
      <c r="H193" s="18">
        <f t="shared" si="2"/>
        <v>4762</v>
      </c>
      <c r="I193" s="14">
        <v>-9.0083613938178597E-2</v>
      </c>
      <c r="J193" s="16" t="s">
        <v>21</v>
      </c>
      <c r="O193" s="15" t="s">
        <v>13</v>
      </c>
      <c r="Q193" s="17" t="s">
        <v>21</v>
      </c>
      <c r="R193" s="13">
        <v>0</v>
      </c>
      <c r="S193" s="1"/>
    </row>
    <row r="194" spans="1:19" hidden="1" x14ac:dyDescent="0.25">
      <c r="A194" s="10" t="s">
        <v>291</v>
      </c>
      <c r="B194" s="11" t="s">
        <v>10</v>
      </c>
      <c r="C194" s="10" t="s">
        <v>285</v>
      </c>
      <c r="D194" s="10" t="s">
        <v>19</v>
      </c>
      <c r="E194" s="12">
        <v>180450</v>
      </c>
      <c r="F194" s="13">
        <v>52862</v>
      </c>
      <c r="G194" s="13">
        <v>47100</v>
      </c>
      <c r="H194" s="18">
        <f t="shared" ref="H194:H257" si="3">F194-G194</f>
        <v>5762</v>
      </c>
      <c r="I194" s="14">
        <v>-0.109000794521585</v>
      </c>
      <c r="J194" s="16" t="s">
        <v>21</v>
      </c>
      <c r="O194" s="15" t="s">
        <v>13</v>
      </c>
      <c r="Q194" s="17" t="s">
        <v>21</v>
      </c>
      <c r="R194" s="13">
        <v>0</v>
      </c>
      <c r="S194" s="1"/>
    </row>
    <row r="195" spans="1:19" hidden="1" x14ac:dyDescent="0.25">
      <c r="A195" s="10" t="s">
        <v>292</v>
      </c>
      <c r="B195" s="11" t="s">
        <v>10</v>
      </c>
      <c r="C195" s="10" t="s">
        <v>285</v>
      </c>
      <c r="D195" s="10" t="s">
        <v>19</v>
      </c>
      <c r="E195" s="12">
        <v>31216</v>
      </c>
      <c r="F195" s="13">
        <v>52862</v>
      </c>
      <c r="G195" s="13">
        <v>47000</v>
      </c>
      <c r="H195" s="18">
        <f t="shared" si="3"/>
        <v>5862</v>
      </c>
      <c r="I195" s="14">
        <v>-0.110892512579925</v>
      </c>
      <c r="J195" s="16" t="s">
        <v>21</v>
      </c>
      <c r="O195" s="15" t="s">
        <v>13</v>
      </c>
      <c r="Q195" s="17" t="s">
        <v>21</v>
      </c>
      <c r="R195" s="13">
        <v>-4046</v>
      </c>
      <c r="S195" s="1"/>
    </row>
    <row r="196" spans="1:19" hidden="1" x14ac:dyDescent="0.25">
      <c r="A196" s="10" t="s">
        <v>295</v>
      </c>
      <c r="B196" s="11" t="s">
        <v>10</v>
      </c>
      <c r="C196" s="10" t="s">
        <v>285</v>
      </c>
      <c r="D196" s="10" t="s">
        <v>19</v>
      </c>
      <c r="E196" s="12">
        <v>44202</v>
      </c>
      <c r="F196" s="13">
        <v>52862</v>
      </c>
      <c r="G196" s="13">
        <v>44400</v>
      </c>
      <c r="H196" s="18">
        <f t="shared" si="3"/>
        <v>8462</v>
      </c>
      <c r="I196" s="14">
        <v>-0.16007718209678001</v>
      </c>
      <c r="J196" s="16" t="s">
        <v>23</v>
      </c>
      <c r="O196" s="15" t="s">
        <v>13</v>
      </c>
      <c r="Q196" s="17" t="s">
        <v>296</v>
      </c>
      <c r="R196" s="13">
        <v>-2879</v>
      </c>
      <c r="S196" s="1"/>
    </row>
    <row r="197" spans="1:19" hidden="1" x14ac:dyDescent="0.25">
      <c r="A197" s="10" t="s">
        <v>297</v>
      </c>
      <c r="B197" s="11" t="s">
        <v>10</v>
      </c>
      <c r="C197" s="10" t="s">
        <v>285</v>
      </c>
      <c r="D197" s="10" t="s">
        <v>19</v>
      </c>
      <c r="E197" s="12">
        <v>88638</v>
      </c>
      <c r="F197" s="13">
        <v>52862</v>
      </c>
      <c r="G197" s="13">
        <v>42600</v>
      </c>
      <c r="H197" s="18">
        <f t="shared" si="3"/>
        <v>10262</v>
      </c>
      <c r="I197" s="14">
        <v>-0.19412810714691101</v>
      </c>
      <c r="J197" s="16" t="s">
        <v>23</v>
      </c>
      <c r="O197" s="15" t="s">
        <v>13</v>
      </c>
      <c r="Q197" s="17" t="s">
        <v>298</v>
      </c>
      <c r="R197" s="13">
        <v>-3330</v>
      </c>
      <c r="S197" s="1"/>
    </row>
    <row r="198" spans="1:19" hidden="1" x14ac:dyDescent="0.25">
      <c r="A198" s="10" t="s">
        <v>323</v>
      </c>
      <c r="B198" s="11" t="s">
        <v>10</v>
      </c>
      <c r="C198" s="10" t="s">
        <v>285</v>
      </c>
      <c r="D198" s="10" t="s">
        <v>12</v>
      </c>
      <c r="E198" s="12">
        <v>66539</v>
      </c>
      <c r="F198" s="13">
        <v>52862</v>
      </c>
      <c r="G198" s="13">
        <v>44200</v>
      </c>
      <c r="H198" s="18">
        <f t="shared" si="3"/>
        <v>8662</v>
      </c>
      <c r="I198" s="14">
        <v>-0.16386061821346101</v>
      </c>
      <c r="J198" s="16" t="s">
        <v>20</v>
      </c>
      <c r="O198" s="15" t="s">
        <v>13</v>
      </c>
      <c r="Q198" s="17" t="s">
        <v>324</v>
      </c>
      <c r="R198" s="13">
        <v>-5157</v>
      </c>
      <c r="S198" s="1"/>
    </row>
    <row r="199" spans="1:19" hidden="1" x14ac:dyDescent="0.25">
      <c r="A199" s="10" t="s">
        <v>352</v>
      </c>
      <c r="B199" s="11" t="s">
        <v>10</v>
      </c>
      <c r="C199" s="10" t="s">
        <v>18</v>
      </c>
      <c r="D199" s="10" t="s">
        <v>19</v>
      </c>
      <c r="E199" s="12">
        <v>57022</v>
      </c>
      <c r="F199" s="13">
        <v>56486</v>
      </c>
      <c r="G199" s="13">
        <v>48800</v>
      </c>
      <c r="H199" s="18">
        <f t="shared" si="3"/>
        <v>7686</v>
      </c>
      <c r="I199" s="14">
        <v>-0.136069114470842</v>
      </c>
      <c r="J199" s="16" t="s">
        <v>21</v>
      </c>
      <c r="O199" s="15" t="s">
        <v>13</v>
      </c>
      <c r="Q199" s="17" t="s">
        <v>21</v>
      </c>
      <c r="R199" s="13">
        <v>-4724</v>
      </c>
      <c r="S199" s="1"/>
    </row>
    <row r="200" spans="1:19" hidden="1" x14ac:dyDescent="0.25">
      <c r="A200" s="10" t="s">
        <v>353</v>
      </c>
      <c r="B200" s="11" t="s">
        <v>10</v>
      </c>
      <c r="C200" s="10" t="s">
        <v>285</v>
      </c>
      <c r="D200" s="10" t="s">
        <v>52</v>
      </c>
      <c r="E200" s="12">
        <v>36797</v>
      </c>
      <c r="F200" s="13">
        <v>52862</v>
      </c>
      <c r="G200" s="13">
        <v>48600</v>
      </c>
      <c r="H200" s="18">
        <f t="shared" si="3"/>
        <v>4262</v>
      </c>
      <c r="I200" s="14">
        <v>-8.0625023646475696E-2</v>
      </c>
      <c r="J200" s="16" t="s">
        <v>20</v>
      </c>
      <c r="O200" s="15" t="s">
        <v>13</v>
      </c>
      <c r="Q200" s="17" t="s">
        <v>354</v>
      </c>
      <c r="R200" s="13">
        <v>-536</v>
      </c>
      <c r="S200" s="1"/>
    </row>
    <row r="201" spans="1:19" x14ac:dyDescent="0.25">
      <c r="A201" s="10" t="s">
        <v>362</v>
      </c>
      <c r="B201" s="11" t="s">
        <v>10</v>
      </c>
      <c r="C201" s="10" t="s">
        <v>18</v>
      </c>
      <c r="D201" s="10" t="s">
        <v>19</v>
      </c>
      <c r="E201" s="12">
        <v>94271</v>
      </c>
      <c r="F201" s="13">
        <v>56486</v>
      </c>
      <c r="G201" s="13">
        <v>51700</v>
      </c>
      <c r="H201" s="18">
        <f t="shared" si="3"/>
        <v>4786</v>
      </c>
      <c r="I201" s="14">
        <v>-8.4728959388166894E-2</v>
      </c>
      <c r="J201" s="16" t="s">
        <v>20</v>
      </c>
      <c r="O201" s="15"/>
      <c r="Q201" s="17"/>
      <c r="R201" s="13"/>
      <c r="S201" s="1"/>
    </row>
    <row r="202" spans="1:19" hidden="1" x14ac:dyDescent="0.25">
      <c r="A202" s="10" t="s">
        <v>363</v>
      </c>
      <c r="B202" s="11" t="s">
        <v>10</v>
      </c>
      <c r="C202" s="10" t="s">
        <v>18</v>
      </c>
      <c r="D202" s="10" t="s">
        <v>19</v>
      </c>
      <c r="E202" s="12">
        <v>60812</v>
      </c>
      <c r="F202" s="13">
        <v>56486</v>
      </c>
      <c r="G202" s="13">
        <v>46900</v>
      </c>
      <c r="H202" s="18">
        <f t="shared" si="3"/>
        <v>9586</v>
      </c>
      <c r="I202" s="14">
        <v>-0.16970576780087099</v>
      </c>
      <c r="J202" s="16" t="s">
        <v>14</v>
      </c>
      <c r="O202" s="15" t="s">
        <v>13</v>
      </c>
      <c r="Q202" s="17" t="s">
        <v>364</v>
      </c>
      <c r="R202" s="13">
        <v>-3785</v>
      </c>
      <c r="S202" s="1"/>
    </row>
    <row r="203" spans="1:19" x14ac:dyDescent="0.25">
      <c r="A203" s="10" t="s">
        <v>365</v>
      </c>
      <c r="B203" s="11" t="s">
        <v>10</v>
      </c>
      <c r="C203" s="10" t="s">
        <v>18</v>
      </c>
      <c r="D203" s="10" t="s">
        <v>19</v>
      </c>
      <c r="E203" s="12">
        <v>107261</v>
      </c>
      <c r="F203" s="13">
        <v>56486</v>
      </c>
      <c r="G203" s="13">
        <v>43900</v>
      </c>
      <c r="H203" s="18">
        <f t="shared" si="3"/>
        <v>12586</v>
      </c>
      <c r="I203" s="14">
        <v>-0.22281627305881099</v>
      </c>
      <c r="J203" s="16" t="s">
        <v>23</v>
      </c>
      <c r="O203" s="15"/>
      <c r="Q203" s="17"/>
      <c r="R203" s="13"/>
      <c r="S203" s="1"/>
    </row>
    <row r="204" spans="1:19" x14ac:dyDescent="0.25">
      <c r="A204" s="10" t="s">
        <v>382</v>
      </c>
      <c r="B204" s="11" t="s">
        <v>10</v>
      </c>
      <c r="C204" s="10" t="s">
        <v>18</v>
      </c>
      <c r="D204" s="10" t="s">
        <v>19</v>
      </c>
      <c r="E204" s="12">
        <v>82552</v>
      </c>
      <c r="F204" s="13">
        <v>56486</v>
      </c>
      <c r="G204" s="13">
        <v>51900</v>
      </c>
      <c r="H204" s="18">
        <f t="shared" si="3"/>
        <v>4586</v>
      </c>
      <c r="I204" s="14">
        <v>-8.11882590376376E-2</v>
      </c>
      <c r="J204" s="16" t="s">
        <v>21</v>
      </c>
      <c r="O204" s="15"/>
      <c r="Q204" s="17"/>
      <c r="R204" s="13"/>
      <c r="S204" s="1"/>
    </row>
    <row r="205" spans="1:19" x14ac:dyDescent="0.25">
      <c r="A205" s="10" t="s">
        <v>385</v>
      </c>
      <c r="B205" s="11" t="s">
        <v>10</v>
      </c>
      <c r="C205" s="10" t="s">
        <v>18</v>
      </c>
      <c r="D205" s="10" t="s">
        <v>19</v>
      </c>
      <c r="E205" s="12">
        <v>98002</v>
      </c>
      <c r="F205" s="13">
        <v>56486</v>
      </c>
      <c r="G205" s="13">
        <v>49700</v>
      </c>
      <c r="H205" s="18">
        <f t="shared" si="3"/>
        <v>6786</v>
      </c>
      <c r="I205" s="14">
        <v>-0.12013596289346</v>
      </c>
      <c r="J205" s="16" t="s">
        <v>14</v>
      </c>
      <c r="O205" s="15"/>
      <c r="Q205" s="17"/>
      <c r="R205" s="13"/>
      <c r="S205" s="1"/>
    </row>
    <row r="206" spans="1:19" hidden="1" x14ac:dyDescent="0.25">
      <c r="A206" s="10" t="s">
        <v>386</v>
      </c>
      <c r="B206" s="11" t="s">
        <v>10</v>
      </c>
      <c r="C206" s="10" t="s">
        <v>18</v>
      </c>
      <c r="D206" s="10" t="s">
        <v>19</v>
      </c>
      <c r="E206" s="12">
        <v>52236</v>
      </c>
      <c r="F206" s="13">
        <v>56486</v>
      </c>
      <c r="G206" s="13">
        <v>46200</v>
      </c>
      <c r="H206" s="18">
        <f t="shared" si="3"/>
        <v>10286</v>
      </c>
      <c r="I206" s="14">
        <v>-0.182098219027724</v>
      </c>
      <c r="J206" s="16" t="s">
        <v>14</v>
      </c>
      <c r="O206" s="15" t="s">
        <v>13</v>
      </c>
      <c r="Q206" s="17" t="s">
        <v>387</v>
      </c>
      <c r="R206" s="13">
        <v>-4980</v>
      </c>
      <c r="S206" s="1"/>
    </row>
    <row r="207" spans="1:19" hidden="1" x14ac:dyDescent="0.25">
      <c r="A207" s="10" t="s">
        <v>388</v>
      </c>
      <c r="B207" s="11" t="s">
        <v>10</v>
      </c>
      <c r="C207" s="10" t="s">
        <v>18</v>
      </c>
      <c r="D207" s="10" t="s">
        <v>12</v>
      </c>
      <c r="E207" s="12">
        <v>52366</v>
      </c>
      <c r="F207" s="13">
        <v>56486</v>
      </c>
      <c r="G207" s="13">
        <v>46100</v>
      </c>
      <c r="H207" s="18">
        <f t="shared" si="3"/>
        <v>10386</v>
      </c>
      <c r="I207" s="14">
        <v>-0.183868569202988</v>
      </c>
      <c r="J207" s="16" t="s">
        <v>23</v>
      </c>
      <c r="O207" s="15" t="s">
        <v>13</v>
      </c>
      <c r="Q207" s="17" t="s">
        <v>389</v>
      </c>
      <c r="R207" s="13">
        <v>-2307</v>
      </c>
      <c r="S207" s="1"/>
    </row>
    <row r="208" spans="1:19" x14ac:dyDescent="0.25">
      <c r="A208" s="10" t="s">
        <v>475</v>
      </c>
      <c r="B208" s="11" t="s">
        <v>10</v>
      </c>
      <c r="C208" s="10" t="s">
        <v>18</v>
      </c>
      <c r="D208" s="10" t="s">
        <v>19</v>
      </c>
      <c r="E208" s="12">
        <v>66994</v>
      </c>
      <c r="F208" s="13">
        <v>56486</v>
      </c>
      <c r="G208" s="13">
        <v>50800</v>
      </c>
      <c r="H208" s="18">
        <f t="shared" si="3"/>
        <v>5686</v>
      </c>
      <c r="I208" s="14">
        <v>-0.100662110965549</v>
      </c>
      <c r="J208" s="16" t="s">
        <v>20</v>
      </c>
      <c r="O208" s="15"/>
      <c r="Q208" s="17"/>
      <c r="R208" s="13"/>
      <c r="S208" s="1"/>
    </row>
    <row r="209" spans="1:19" hidden="1" x14ac:dyDescent="0.25">
      <c r="A209" s="10" t="s">
        <v>479</v>
      </c>
      <c r="B209" s="11" t="s">
        <v>10</v>
      </c>
      <c r="C209" s="10" t="s">
        <v>18</v>
      </c>
      <c r="D209" s="10" t="s">
        <v>19</v>
      </c>
      <c r="E209" s="12">
        <v>47551</v>
      </c>
      <c r="F209" s="13">
        <v>56486</v>
      </c>
      <c r="G209" s="13">
        <v>45800</v>
      </c>
      <c r="H209" s="18">
        <f t="shared" si="3"/>
        <v>10686</v>
      </c>
      <c r="I209" s="14">
        <v>-0.189179619728782</v>
      </c>
      <c r="J209" s="16" t="s">
        <v>21</v>
      </c>
      <c r="O209" s="15" t="s">
        <v>13</v>
      </c>
      <c r="Q209" s="17" t="s">
        <v>21</v>
      </c>
      <c r="R209" s="13">
        <v>-6974</v>
      </c>
      <c r="S209" s="1"/>
    </row>
    <row r="210" spans="1:19" hidden="1" x14ac:dyDescent="0.25">
      <c r="A210" s="10" t="s">
        <v>500</v>
      </c>
      <c r="B210" s="11" t="s">
        <v>10</v>
      </c>
      <c r="C210" s="10" t="s">
        <v>18</v>
      </c>
      <c r="D210" s="10" t="s">
        <v>12</v>
      </c>
      <c r="E210" s="12">
        <v>30340</v>
      </c>
      <c r="F210" s="13">
        <v>56486</v>
      </c>
      <c r="G210" s="13">
        <v>50900</v>
      </c>
      <c r="H210" s="18">
        <f t="shared" si="3"/>
        <v>5586</v>
      </c>
      <c r="I210" s="14">
        <v>-9.8891760790284305E-2</v>
      </c>
      <c r="J210" s="16" t="s">
        <v>14</v>
      </c>
      <c r="O210" s="15" t="s">
        <v>13</v>
      </c>
      <c r="Q210" s="17" t="s">
        <v>501</v>
      </c>
      <c r="R210" s="13">
        <v>0</v>
      </c>
      <c r="S210" s="1"/>
    </row>
    <row r="211" spans="1:19" hidden="1" x14ac:dyDescent="0.25">
      <c r="A211" s="10" t="s">
        <v>556</v>
      </c>
      <c r="B211" s="11" t="s">
        <v>10</v>
      </c>
      <c r="C211" s="10" t="s">
        <v>35</v>
      </c>
      <c r="D211" s="10" t="s">
        <v>19</v>
      </c>
      <c r="E211" s="12">
        <v>134858</v>
      </c>
      <c r="F211" s="13">
        <v>56486</v>
      </c>
      <c r="G211" s="13">
        <v>41200</v>
      </c>
      <c r="H211" s="18">
        <f t="shared" si="3"/>
        <v>15286</v>
      </c>
      <c r="I211" s="14">
        <v>-0.27061572779095699</v>
      </c>
      <c r="J211" s="16" t="s">
        <v>20</v>
      </c>
      <c r="O211" s="15" t="s">
        <v>13</v>
      </c>
      <c r="Q211" s="17" t="s">
        <v>557</v>
      </c>
      <c r="R211" s="13">
        <v>-9675</v>
      </c>
      <c r="S211" s="1"/>
    </row>
    <row r="212" spans="1:19" hidden="1" x14ac:dyDescent="0.25">
      <c r="A212" s="10" t="s">
        <v>568</v>
      </c>
      <c r="B212" s="11" t="s">
        <v>10</v>
      </c>
      <c r="C212" s="10" t="s">
        <v>45</v>
      </c>
      <c r="D212" s="10" t="s">
        <v>19</v>
      </c>
      <c r="E212" s="12">
        <v>126727</v>
      </c>
      <c r="F212" s="13">
        <v>60127</v>
      </c>
      <c r="G212" s="13">
        <v>51600</v>
      </c>
      <c r="H212" s="18">
        <f t="shared" si="3"/>
        <v>8527</v>
      </c>
      <c r="I212" s="14">
        <v>-0.141816488432817</v>
      </c>
      <c r="J212" s="16" t="s">
        <v>20</v>
      </c>
      <c r="O212" s="15" t="s">
        <v>13</v>
      </c>
      <c r="Q212" s="17" t="s">
        <v>569</v>
      </c>
      <c r="R212" s="13">
        <v>-1245</v>
      </c>
      <c r="S212" s="1"/>
    </row>
    <row r="213" spans="1:19" hidden="1" x14ac:dyDescent="0.25">
      <c r="A213" s="10" t="s">
        <v>572</v>
      </c>
      <c r="B213" s="11" t="s">
        <v>10</v>
      </c>
      <c r="C213" s="10" t="s">
        <v>45</v>
      </c>
      <c r="D213" s="10" t="s">
        <v>19</v>
      </c>
      <c r="E213" s="12">
        <v>101634</v>
      </c>
      <c r="F213" s="13">
        <v>60127</v>
      </c>
      <c r="G213" s="13">
        <v>45700</v>
      </c>
      <c r="H213" s="18">
        <f t="shared" si="3"/>
        <v>14427</v>
      </c>
      <c r="I213" s="14">
        <v>-0.239942122507359</v>
      </c>
      <c r="J213" s="16" t="s">
        <v>23</v>
      </c>
      <c r="O213" s="15" t="s">
        <v>13</v>
      </c>
      <c r="Q213" s="17" t="s">
        <v>573</v>
      </c>
      <c r="R213" s="13">
        <v>-4470</v>
      </c>
      <c r="S213" s="1"/>
    </row>
    <row r="214" spans="1:19" x14ac:dyDescent="0.25">
      <c r="A214" s="10" t="s">
        <v>578</v>
      </c>
      <c r="B214" s="11" t="s">
        <v>10</v>
      </c>
      <c r="C214" s="10" t="s">
        <v>45</v>
      </c>
      <c r="D214" s="10" t="s">
        <v>26</v>
      </c>
      <c r="E214" s="12">
        <v>94539</v>
      </c>
      <c r="F214" s="13">
        <v>60127</v>
      </c>
      <c r="G214" s="13">
        <v>53300</v>
      </c>
      <c r="H214" s="18">
        <f t="shared" si="3"/>
        <v>6827</v>
      </c>
      <c r="I214" s="14">
        <v>-0.113543000648627</v>
      </c>
      <c r="J214" s="16" t="s">
        <v>20</v>
      </c>
      <c r="O214" s="15"/>
      <c r="Q214" s="17"/>
      <c r="R214" s="13"/>
      <c r="S214" s="1"/>
    </row>
    <row r="215" spans="1:19" hidden="1" x14ac:dyDescent="0.25">
      <c r="A215" s="10" t="s">
        <v>579</v>
      </c>
      <c r="B215" s="11" t="s">
        <v>10</v>
      </c>
      <c r="C215" s="10" t="s">
        <v>45</v>
      </c>
      <c r="D215" s="10" t="s">
        <v>19</v>
      </c>
      <c r="E215" s="12">
        <v>74021</v>
      </c>
      <c r="F215" s="13">
        <v>60127</v>
      </c>
      <c r="G215" s="13">
        <v>47200</v>
      </c>
      <c r="H215" s="18">
        <f t="shared" si="3"/>
        <v>12927</v>
      </c>
      <c r="I215" s="14">
        <v>-0.214994927403662</v>
      </c>
      <c r="J215" s="16" t="s">
        <v>14</v>
      </c>
      <c r="O215" s="15" t="s">
        <v>13</v>
      </c>
      <c r="Q215" s="17" t="s">
        <v>580</v>
      </c>
      <c r="R215" s="13">
        <v>-5690</v>
      </c>
      <c r="S215" s="1"/>
    </row>
    <row r="216" spans="1:19" x14ac:dyDescent="0.25">
      <c r="A216" s="10" t="s">
        <v>587</v>
      </c>
      <c r="B216" s="11" t="s">
        <v>10</v>
      </c>
      <c r="C216" s="10" t="s">
        <v>45</v>
      </c>
      <c r="D216" s="10" t="s">
        <v>31</v>
      </c>
      <c r="E216" s="12">
        <v>91200</v>
      </c>
      <c r="F216" s="13">
        <v>60127</v>
      </c>
      <c r="G216" s="13">
        <v>54100</v>
      </c>
      <c r="H216" s="18">
        <f t="shared" si="3"/>
        <v>6027</v>
      </c>
      <c r="I216" s="14">
        <v>-0.100237829926655</v>
      </c>
      <c r="J216" s="16" t="s">
        <v>20</v>
      </c>
      <c r="O216" s="15"/>
      <c r="Q216" s="17"/>
      <c r="R216" s="13"/>
      <c r="S216" s="1"/>
    </row>
    <row r="217" spans="1:19" hidden="1" x14ac:dyDescent="0.25">
      <c r="A217" s="10" t="s">
        <v>588</v>
      </c>
      <c r="B217" s="11" t="s">
        <v>10</v>
      </c>
      <c r="C217" s="10" t="s">
        <v>45</v>
      </c>
      <c r="D217" s="10" t="s">
        <v>26</v>
      </c>
      <c r="E217" s="12">
        <v>21008</v>
      </c>
      <c r="F217" s="13">
        <v>60127</v>
      </c>
      <c r="G217" s="13">
        <v>52300</v>
      </c>
      <c r="H217" s="18">
        <f t="shared" si="3"/>
        <v>7827</v>
      </c>
      <c r="I217" s="14">
        <v>-0.13017446405109201</v>
      </c>
      <c r="J217" s="16" t="s">
        <v>21</v>
      </c>
      <c r="O217" s="15" t="s">
        <v>13</v>
      </c>
      <c r="Q217" s="17" t="s">
        <v>21</v>
      </c>
      <c r="R217" s="13">
        <v>-5214</v>
      </c>
      <c r="S217" s="1"/>
    </row>
    <row r="218" spans="1:19" hidden="1" x14ac:dyDescent="0.25">
      <c r="A218" s="10" t="s">
        <v>589</v>
      </c>
      <c r="B218" s="11" t="s">
        <v>10</v>
      </c>
      <c r="C218" s="10" t="s">
        <v>45</v>
      </c>
      <c r="D218" s="10" t="s">
        <v>26</v>
      </c>
      <c r="E218" s="12">
        <v>44347</v>
      </c>
      <c r="F218" s="13">
        <v>60127</v>
      </c>
      <c r="G218" s="13">
        <v>50700</v>
      </c>
      <c r="H218" s="18">
        <f t="shared" si="3"/>
        <v>9427</v>
      </c>
      <c r="I218" s="14">
        <v>-0.15678480549503501</v>
      </c>
      <c r="J218" s="16" t="s">
        <v>14</v>
      </c>
      <c r="O218" s="15" t="s">
        <v>13</v>
      </c>
      <c r="Q218" s="17" t="s">
        <v>590</v>
      </c>
      <c r="R218" s="13">
        <v>-3737</v>
      </c>
      <c r="S218" s="1"/>
    </row>
    <row r="219" spans="1:19" x14ac:dyDescent="0.25">
      <c r="A219" s="10" t="s">
        <v>591</v>
      </c>
      <c r="B219" s="11" t="s">
        <v>10</v>
      </c>
      <c r="C219" s="10" t="s">
        <v>45</v>
      </c>
      <c r="D219" s="10" t="s">
        <v>26</v>
      </c>
      <c r="E219" s="12">
        <v>146153</v>
      </c>
      <c r="F219" s="13">
        <v>60127</v>
      </c>
      <c r="G219" s="13">
        <v>49900</v>
      </c>
      <c r="H219" s="18">
        <f t="shared" si="3"/>
        <v>10227</v>
      </c>
      <c r="I219" s="14">
        <v>-0.170089976217007</v>
      </c>
      <c r="J219" s="16" t="s">
        <v>20</v>
      </c>
      <c r="O219" s="15"/>
      <c r="Q219" s="17"/>
      <c r="R219" s="13"/>
      <c r="S219" s="1"/>
    </row>
    <row r="220" spans="1:19" x14ac:dyDescent="0.25">
      <c r="A220" s="10" t="s">
        <v>602</v>
      </c>
      <c r="B220" s="11" t="s">
        <v>10</v>
      </c>
      <c r="C220" s="10" t="s">
        <v>45</v>
      </c>
      <c r="D220" s="10" t="s">
        <v>12</v>
      </c>
      <c r="E220" s="12">
        <v>72452</v>
      </c>
      <c r="F220" s="13">
        <v>60127</v>
      </c>
      <c r="G220" s="13">
        <v>55300</v>
      </c>
      <c r="H220" s="18">
        <f t="shared" si="3"/>
        <v>4827</v>
      </c>
      <c r="I220" s="14">
        <v>-8.0280073843697494E-2</v>
      </c>
      <c r="J220" s="16" t="s">
        <v>21</v>
      </c>
      <c r="O220" s="15"/>
      <c r="Q220" s="17"/>
      <c r="R220" s="13"/>
      <c r="S220" s="1"/>
    </row>
    <row r="221" spans="1:19" hidden="1" x14ac:dyDescent="0.25">
      <c r="A221" s="10" t="s">
        <v>633</v>
      </c>
      <c r="B221" s="11" t="s">
        <v>10</v>
      </c>
      <c r="C221" s="10" t="s">
        <v>45</v>
      </c>
      <c r="D221" s="10" t="s">
        <v>19</v>
      </c>
      <c r="E221" s="12">
        <v>52584</v>
      </c>
      <c r="F221" s="13">
        <v>60127</v>
      </c>
      <c r="G221" s="13">
        <v>49300</v>
      </c>
      <c r="H221" s="18">
        <f t="shared" si="3"/>
        <v>10827</v>
      </c>
      <c r="I221" s="14">
        <v>-0.18006885425848601</v>
      </c>
      <c r="J221" s="16" t="s">
        <v>20</v>
      </c>
      <c r="O221" s="15" t="s">
        <v>13</v>
      </c>
      <c r="Q221" s="17" t="s">
        <v>634</v>
      </c>
      <c r="R221" s="13">
        <v>-7061</v>
      </c>
      <c r="S221" s="1"/>
    </row>
    <row r="222" spans="1:19" hidden="1" x14ac:dyDescent="0.25">
      <c r="A222" s="10" t="s">
        <v>686</v>
      </c>
      <c r="B222" s="11" t="s">
        <v>10</v>
      </c>
      <c r="C222" s="10" t="s">
        <v>285</v>
      </c>
      <c r="D222" s="10" t="s">
        <v>19</v>
      </c>
      <c r="E222" s="12">
        <v>32641</v>
      </c>
      <c r="F222" s="13">
        <v>52862</v>
      </c>
      <c r="G222" s="13">
        <v>48700</v>
      </c>
      <c r="H222" s="18">
        <f t="shared" si="3"/>
        <v>4162</v>
      </c>
      <c r="I222" s="14">
        <v>-7.8733305588135197E-2</v>
      </c>
      <c r="J222" s="16" t="s">
        <v>14</v>
      </c>
      <c r="O222" s="15" t="s">
        <v>653</v>
      </c>
      <c r="Q222" s="17" t="s">
        <v>687</v>
      </c>
      <c r="R222" s="13">
        <v>0</v>
      </c>
      <c r="S222" s="1"/>
    </row>
    <row r="223" spans="1:19" hidden="1" x14ac:dyDescent="0.25">
      <c r="A223" s="10" t="s">
        <v>699</v>
      </c>
      <c r="B223" s="11" t="s">
        <v>10</v>
      </c>
      <c r="C223" s="10" t="s">
        <v>18</v>
      </c>
      <c r="D223" s="10" t="s">
        <v>19</v>
      </c>
      <c r="E223" s="12">
        <v>66906</v>
      </c>
      <c r="F223" s="13">
        <v>56486</v>
      </c>
      <c r="G223" s="13">
        <v>52000</v>
      </c>
      <c r="H223" s="18">
        <f t="shared" si="3"/>
        <v>4486</v>
      </c>
      <c r="I223" s="14">
        <v>-7.9417908862373002E-2</v>
      </c>
      <c r="J223" s="16" t="s">
        <v>14</v>
      </c>
      <c r="O223" s="15" t="s">
        <v>653</v>
      </c>
      <c r="Q223" s="17" t="s">
        <v>700</v>
      </c>
      <c r="R223" s="13">
        <v>0</v>
      </c>
      <c r="S223" s="1"/>
    </row>
    <row r="224" spans="1:19" x14ac:dyDescent="0.25">
      <c r="A224" s="10" t="s">
        <v>550</v>
      </c>
      <c r="B224" s="11" t="s">
        <v>551</v>
      </c>
      <c r="C224" s="10" t="s">
        <v>35</v>
      </c>
      <c r="D224" s="10" t="s">
        <v>12</v>
      </c>
      <c r="E224" s="12">
        <v>69518</v>
      </c>
      <c r="F224" s="13">
        <v>61375</v>
      </c>
      <c r="G224" s="13">
        <v>52700</v>
      </c>
      <c r="H224" s="18">
        <f t="shared" si="3"/>
        <v>8675</v>
      </c>
      <c r="I224" s="14">
        <v>-0.14134419551934799</v>
      </c>
      <c r="J224" s="16" t="s">
        <v>21</v>
      </c>
      <c r="O224" s="15"/>
      <c r="Q224" s="17"/>
      <c r="R224" s="13"/>
      <c r="S224" s="1"/>
    </row>
    <row r="225" spans="1:19" x14ac:dyDescent="0.25">
      <c r="A225" s="10" t="s">
        <v>449</v>
      </c>
      <c r="B225" s="11" t="s">
        <v>450</v>
      </c>
      <c r="C225" s="10" t="s">
        <v>18</v>
      </c>
      <c r="D225" s="10" t="s">
        <v>52</v>
      </c>
      <c r="E225" s="12">
        <v>70363</v>
      </c>
      <c r="F225" s="13">
        <v>68798</v>
      </c>
      <c r="G225" s="13">
        <v>57300</v>
      </c>
      <c r="H225" s="18">
        <f t="shared" si="3"/>
        <v>11498</v>
      </c>
      <c r="I225" s="14">
        <v>-0.167126951364865</v>
      </c>
      <c r="J225" s="16" t="s">
        <v>20</v>
      </c>
      <c r="O225" s="15"/>
      <c r="Q225" s="17"/>
      <c r="R225" s="13"/>
      <c r="S225" s="1"/>
    </row>
    <row r="226" spans="1:19" hidden="1" x14ac:dyDescent="0.25">
      <c r="A226" s="10" t="s">
        <v>458</v>
      </c>
      <c r="B226" s="11" t="s">
        <v>450</v>
      </c>
      <c r="C226" s="10" t="s">
        <v>18</v>
      </c>
      <c r="D226" s="10" t="s">
        <v>26</v>
      </c>
      <c r="E226" s="12">
        <v>69151</v>
      </c>
      <c r="F226" s="13">
        <v>68798</v>
      </c>
      <c r="G226" s="13">
        <v>55600</v>
      </c>
      <c r="H226" s="18">
        <f t="shared" si="3"/>
        <v>13198</v>
      </c>
      <c r="I226" s="14">
        <v>-0.19183697200499999</v>
      </c>
      <c r="J226" s="16" t="s">
        <v>20</v>
      </c>
      <c r="O226" s="15" t="s">
        <v>13</v>
      </c>
      <c r="Q226" s="17" t="s">
        <v>459</v>
      </c>
      <c r="R226" s="13">
        <v>-7065</v>
      </c>
      <c r="S226" s="1"/>
    </row>
    <row r="227" spans="1:19" hidden="1" x14ac:dyDescent="0.25">
      <c r="A227" s="10" t="s">
        <v>467</v>
      </c>
      <c r="B227" s="11" t="s">
        <v>450</v>
      </c>
      <c r="C227" s="10" t="s">
        <v>18</v>
      </c>
      <c r="D227" s="10" t="s">
        <v>26</v>
      </c>
      <c r="E227" s="12">
        <v>73106</v>
      </c>
      <c r="F227" s="13">
        <v>68798</v>
      </c>
      <c r="G227" s="13">
        <v>53100</v>
      </c>
      <c r="H227" s="18">
        <f t="shared" si="3"/>
        <v>15698</v>
      </c>
      <c r="I227" s="14">
        <v>-0.228175237652257</v>
      </c>
      <c r="J227" s="16" t="s">
        <v>23</v>
      </c>
      <c r="O227" s="15" t="s">
        <v>13</v>
      </c>
      <c r="Q227" s="17" t="s">
        <v>468</v>
      </c>
      <c r="R227" s="13">
        <v>-6674</v>
      </c>
      <c r="S227" s="1"/>
    </row>
    <row r="228" spans="1:19" hidden="1" x14ac:dyDescent="0.25">
      <c r="A228" s="10" t="s">
        <v>688</v>
      </c>
      <c r="B228" s="11" t="s">
        <v>450</v>
      </c>
      <c r="C228" s="10" t="s">
        <v>18</v>
      </c>
      <c r="D228" s="10" t="s">
        <v>19</v>
      </c>
      <c r="E228" s="12">
        <v>30516</v>
      </c>
      <c r="F228" s="13">
        <v>68798</v>
      </c>
      <c r="G228" s="13">
        <v>63300</v>
      </c>
      <c r="H228" s="18">
        <f t="shared" si="3"/>
        <v>5498</v>
      </c>
      <c r="I228" s="14">
        <v>-7.9915113811448002E-2</v>
      </c>
      <c r="J228" s="16" t="s">
        <v>14</v>
      </c>
      <c r="O228" s="15" t="s">
        <v>653</v>
      </c>
      <c r="Q228" s="17" t="s">
        <v>689</v>
      </c>
      <c r="R228" s="13">
        <v>0</v>
      </c>
      <c r="S228" s="1"/>
    </row>
    <row r="229" spans="1:19" x14ac:dyDescent="0.25">
      <c r="A229" s="10" t="s">
        <v>47</v>
      </c>
      <c r="B229" s="11" t="s">
        <v>48</v>
      </c>
      <c r="C229" s="10" t="s">
        <v>11</v>
      </c>
      <c r="D229" s="10" t="s">
        <v>19</v>
      </c>
      <c r="E229" s="12">
        <v>61728</v>
      </c>
      <c r="F229" s="13">
        <v>64201</v>
      </c>
      <c r="G229" s="13">
        <v>46200</v>
      </c>
      <c r="H229" s="18">
        <f t="shared" si="3"/>
        <v>18001</v>
      </c>
      <c r="I229" s="14">
        <v>-0.28038504073145298</v>
      </c>
      <c r="J229" s="16" t="s">
        <v>23</v>
      </c>
      <c r="O229" s="15"/>
      <c r="Q229" s="17"/>
      <c r="R229" s="13"/>
      <c r="S229" s="1"/>
    </row>
    <row r="230" spans="1:19" hidden="1" x14ac:dyDescent="0.25">
      <c r="A230" s="10" t="s">
        <v>614</v>
      </c>
      <c r="B230" s="11" t="s">
        <v>48</v>
      </c>
      <c r="C230" s="10" t="s">
        <v>45</v>
      </c>
      <c r="D230" s="10" t="s">
        <v>26</v>
      </c>
      <c r="E230" s="12">
        <v>46249</v>
      </c>
      <c r="F230" s="13">
        <v>75974</v>
      </c>
      <c r="G230" s="13">
        <v>61100</v>
      </c>
      <c r="H230" s="18">
        <f t="shared" si="3"/>
        <v>14874</v>
      </c>
      <c r="I230" s="14">
        <v>-0.19577750282991499</v>
      </c>
      <c r="J230" s="16" t="s">
        <v>14</v>
      </c>
      <c r="O230" s="15" t="s">
        <v>13</v>
      </c>
      <c r="Q230" s="17" t="s">
        <v>615</v>
      </c>
      <c r="R230" s="13">
        <v>-8025</v>
      </c>
      <c r="S230" s="1"/>
    </row>
    <row r="231" spans="1:19" hidden="1" x14ac:dyDescent="0.25">
      <c r="A231" s="10" t="s">
        <v>339</v>
      </c>
      <c r="B231" s="11" t="s">
        <v>340</v>
      </c>
      <c r="C231" s="10" t="s">
        <v>18</v>
      </c>
      <c r="D231" s="10" t="s">
        <v>12</v>
      </c>
      <c r="E231" s="12">
        <v>96080</v>
      </c>
      <c r="F231" s="13">
        <v>83785</v>
      </c>
      <c r="G231" s="13">
        <v>75300</v>
      </c>
      <c r="H231" s="18">
        <f t="shared" si="3"/>
        <v>8485</v>
      </c>
      <c r="I231" s="14">
        <v>-0.101271110580653</v>
      </c>
      <c r="J231" s="16" t="s">
        <v>20</v>
      </c>
      <c r="O231" s="15" t="s">
        <v>13</v>
      </c>
      <c r="Q231" s="17" t="s">
        <v>341</v>
      </c>
      <c r="R231" s="13">
        <v>0</v>
      </c>
      <c r="S231" s="1"/>
    </row>
    <row r="232" spans="1:19" x14ac:dyDescent="0.25">
      <c r="A232" s="10" t="s">
        <v>328</v>
      </c>
      <c r="B232" s="11" t="s">
        <v>329</v>
      </c>
      <c r="C232" s="10" t="s">
        <v>18</v>
      </c>
      <c r="D232" s="10" t="s">
        <v>19</v>
      </c>
      <c r="E232" s="12">
        <v>172474</v>
      </c>
      <c r="F232" s="13">
        <v>90115</v>
      </c>
      <c r="G232" s="13">
        <v>69400</v>
      </c>
      <c r="H232" s="18">
        <f t="shared" si="3"/>
        <v>20715</v>
      </c>
      <c r="I232" s="14">
        <v>-0.229872940132054</v>
      </c>
      <c r="J232" s="16" t="s">
        <v>20</v>
      </c>
      <c r="O232" s="15"/>
      <c r="Q232" s="17"/>
      <c r="R232" s="13"/>
      <c r="S232" s="1"/>
    </row>
    <row r="233" spans="1:19" hidden="1" x14ac:dyDescent="0.25">
      <c r="A233" s="10" t="s">
        <v>574</v>
      </c>
      <c r="B233" s="11" t="s">
        <v>329</v>
      </c>
      <c r="C233" s="10" t="s">
        <v>45</v>
      </c>
      <c r="D233" s="10" t="s">
        <v>19</v>
      </c>
      <c r="E233" s="12">
        <v>56551</v>
      </c>
      <c r="F233" s="13">
        <v>98058</v>
      </c>
      <c r="G233" s="13">
        <v>70800</v>
      </c>
      <c r="H233" s="18">
        <f t="shared" si="3"/>
        <v>27258</v>
      </c>
      <c r="I233" s="14">
        <v>-0.27797833935018001</v>
      </c>
      <c r="J233" s="16" t="s">
        <v>14</v>
      </c>
      <c r="O233" s="15" t="s">
        <v>13</v>
      </c>
      <c r="Q233" s="17" t="s">
        <v>575</v>
      </c>
      <c r="R233" s="13">
        <v>-12033</v>
      </c>
      <c r="S233" s="1"/>
    </row>
    <row r="234" spans="1:19" hidden="1" x14ac:dyDescent="0.25">
      <c r="A234" s="10" t="s">
        <v>164</v>
      </c>
      <c r="B234" s="11" t="s">
        <v>165</v>
      </c>
      <c r="C234" s="10" t="s">
        <v>42</v>
      </c>
      <c r="D234" s="10" t="s">
        <v>19</v>
      </c>
      <c r="E234" s="12">
        <v>99653</v>
      </c>
      <c r="F234" s="13">
        <v>72447</v>
      </c>
      <c r="G234" s="13">
        <v>60300</v>
      </c>
      <c r="H234" s="18">
        <f t="shared" si="3"/>
        <v>12147</v>
      </c>
      <c r="I234" s="14">
        <v>-0.167667398235952</v>
      </c>
      <c r="J234" s="16" t="s">
        <v>20</v>
      </c>
      <c r="O234" s="15" t="s">
        <v>13</v>
      </c>
      <c r="Q234" s="17" t="s">
        <v>166</v>
      </c>
      <c r="R234" s="13">
        <v>-3480</v>
      </c>
      <c r="S234" s="1"/>
    </row>
    <row r="235" spans="1:19" hidden="1" x14ac:dyDescent="0.25">
      <c r="A235" s="10" t="s">
        <v>167</v>
      </c>
      <c r="B235" s="11" t="s">
        <v>165</v>
      </c>
      <c r="C235" s="10" t="s">
        <v>42</v>
      </c>
      <c r="D235" s="10" t="s">
        <v>19</v>
      </c>
      <c r="E235" s="12">
        <v>79717</v>
      </c>
      <c r="F235" s="13">
        <v>72447</v>
      </c>
      <c r="G235" s="13">
        <v>60300</v>
      </c>
      <c r="H235" s="18">
        <f t="shared" si="3"/>
        <v>12147</v>
      </c>
      <c r="I235" s="14">
        <v>-0.167667398235952</v>
      </c>
      <c r="J235" s="16" t="s">
        <v>21</v>
      </c>
      <c r="O235" s="15" t="s">
        <v>13</v>
      </c>
      <c r="Q235" s="17" t="s">
        <v>21</v>
      </c>
      <c r="R235" s="13">
        <v>-5411</v>
      </c>
      <c r="S235" s="1"/>
    </row>
    <row r="236" spans="1:19" hidden="1" x14ac:dyDescent="0.25">
      <c r="A236" s="10" t="s">
        <v>168</v>
      </c>
      <c r="B236" s="11" t="s">
        <v>165</v>
      </c>
      <c r="C236" s="10" t="s">
        <v>42</v>
      </c>
      <c r="D236" s="10" t="s">
        <v>19</v>
      </c>
      <c r="E236" s="12">
        <v>109323</v>
      </c>
      <c r="F236" s="13">
        <v>72447</v>
      </c>
      <c r="G236" s="13">
        <v>57500</v>
      </c>
      <c r="H236" s="18">
        <f t="shared" si="3"/>
        <v>14947</v>
      </c>
      <c r="I236" s="14">
        <v>-0.20631634160144699</v>
      </c>
      <c r="J236" s="16" t="s">
        <v>20</v>
      </c>
      <c r="O236" s="15" t="s">
        <v>13</v>
      </c>
      <c r="Q236" s="17" t="s">
        <v>169</v>
      </c>
      <c r="R236" s="13">
        <v>-4995</v>
      </c>
      <c r="S236" s="1"/>
    </row>
    <row r="237" spans="1:19" hidden="1" x14ac:dyDescent="0.25">
      <c r="A237" s="10" t="s">
        <v>170</v>
      </c>
      <c r="B237" s="11" t="s">
        <v>165</v>
      </c>
      <c r="C237" s="10" t="s">
        <v>42</v>
      </c>
      <c r="D237" s="10" t="s">
        <v>19</v>
      </c>
      <c r="E237" s="12">
        <v>86836</v>
      </c>
      <c r="F237" s="13">
        <v>72447</v>
      </c>
      <c r="G237" s="13">
        <v>53400</v>
      </c>
      <c r="H237" s="18">
        <f t="shared" si="3"/>
        <v>19047</v>
      </c>
      <c r="I237" s="14">
        <v>-0.26290943724377802</v>
      </c>
      <c r="J237" s="16" t="s">
        <v>20</v>
      </c>
      <c r="O237" s="15" t="s">
        <v>13</v>
      </c>
      <c r="Q237" s="17" t="s">
        <v>171</v>
      </c>
      <c r="R237" s="13">
        <v>-11360</v>
      </c>
      <c r="S237" s="1"/>
    </row>
    <row r="238" spans="1:19" hidden="1" x14ac:dyDescent="0.25">
      <c r="A238" s="10" t="s">
        <v>172</v>
      </c>
      <c r="B238" s="11" t="s">
        <v>165</v>
      </c>
      <c r="C238" s="10" t="s">
        <v>42</v>
      </c>
      <c r="D238" s="10" t="s">
        <v>19</v>
      </c>
      <c r="E238" s="12">
        <v>76527</v>
      </c>
      <c r="F238" s="13">
        <v>72447</v>
      </c>
      <c r="G238" s="13">
        <v>65700</v>
      </c>
      <c r="H238" s="18">
        <f t="shared" si="3"/>
        <v>6747</v>
      </c>
      <c r="I238" s="14">
        <v>-9.3130150316783303E-2</v>
      </c>
      <c r="J238" s="16" t="s">
        <v>21</v>
      </c>
      <c r="O238" s="15" t="s">
        <v>13</v>
      </c>
      <c r="Q238" s="17" t="s">
        <v>21</v>
      </c>
      <c r="R238" s="13">
        <v>0</v>
      </c>
      <c r="S238" s="1"/>
    </row>
    <row r="239" spans="1:19" hidden="1" x14ac:dyDescent="0.25">
      <c r="A239" s="10" t="s">
        <v>177</v>
      </c>
      <c r="B239" s="11" t="s">
        <v>165</v>
      </c>
      <c r="C239" s="10" t="s">
        <v>42</v>
      </c>
      <c r="D239" s="10" t="s">
        <v>19</v>
      </c>
      <c r="E239" s="12">
        <v>81185</v>
      </c>
      <c r="F239" s="13">
        <v>72447</v>
      </c>
      <c r="G239" s="13">
        <v>60100</v>
      </c>
      <c r="H239" s="18">
        <f t="shared" si="3"/>
        <v>12347</v>
      </c>
      <c r="I239" s="14">
        <v>-0.17042803704777301</v>
      </c>
      <c r="J239" s="16" t="s">
        <v>20</v>
      </c>
      <c r="O239" s="15" t="s">
        <v>13</v>
      </c>
      <c r="Q239" s="17" t="s">
        <v>178</v>
      </c>
      <c r="R239" s="13">
        <v>-3720</v>
      </c>
      <c r="S239" s="1"/>
    </row>
    <row r="240" spans="1:19" hidden="1" x14ac:dyDescent="0.25">
      <c r="A240" s="10" t="s">
        <v>179</v>
      </c>
      <c r="B240" s="11" t="s">
        <v>165</v>
      </c>
      <c r="C240" s="10" t="s">
        <v>42</v>
      </c>
      <c r="D240" s="10" t="s">
        <v>19</v>
      </c>
      <c r="E240" s="12">
        <v>63618</v>
      </c>
      <c r="F240" s="13">
        <v>72447</v>
      </c>
      <c r="G240" s="13">
        <v>59400</v>
      </c>
      <c r="H240" s="18">
        <f t="shared" si="3"/>
        <v>13047</v>
      </c>
      <c r="I240" s="14">
        <v>-0.180090272889147</v>
      </c>
      <c r="J240" s="16" t="s">
        <v>20</v>
      </c>
      <c r="O240" s="15" t="s">
        <v>13</v>
      </c>
      <c r="Q240" s="17" t="s">
        <v>180</v>
      </c>
      <c r="R240" s="13">
        <v>-5021</v>
      </c>
      <c r="S240" s="1"/>
    </row>
    <row r="241" spans="1:19" hidden="1" x14ac:dyDescent="0.25">
      <c r="A241" s="10" t="s">
        <v>181</v>
      </c>
      <c r="B241" s="11" t="s">
        <v>165</v>
      </c>
      <c r="C241" s="10" t="s">
        <v>42</v>
      </c>
      <c r="D241" s="10" t="s">
        <v>19</v>
      </c>
      <c r="E241" s="12">
        <v>89808</v>
      </c>
      <c r="F241" s="13">
        <v>72447</v>
      </c>
      <c r="G241" s="13">
        <v>58200</v>
      </c>
      <c r="H241" s="18">
        <f t="shared" si="3"/>
        <v>14247</v>
      </c>
      <c r="I241" s="14">
        <v>-0.196654105760073</v>
      </c>
      <c r="J241" s="16" t="s">
        <v>20</v>
      </c>
      <c r="O241" s="15" t="s">
        <v>13</v>
      </c>
      <c r="Q241" s="17" t="s">
        <v>182</v>
      </c>
      <c r="R241" s="13">
        <v>-5625</v>
      </c>
      <c r="S241" s="1"/>
    </row>
    <row r="242" spans="1:19" hidden="1" x14ac:dyDescent="0.25">
      <c r="A242" s="10" t="s">
        <v>183</v>
      </c>
      <c r="B242" s="11" t="s">
        <v>165</v>
      </c>
      <c r="C242" s="10" t="s">
        <v>42</v>
      </c>
      <c r="D242" s="10" t="s">
        <v>19</v>
      </c>
      <c r="E242" s="12">
        <v>128832</v>
      </c>
      <c r="F242" s="13">
        <v>72447</v>
      </c>
      <c r="G242" s="13">
        <v>57800</v>
      </c>
      <c r="H242" s="18">
        <f t="shared" si="3"/>
        <v>14647</v>
      </c>
      <c r="I242" s="14">
        <v>-0.20217538338371499</v>
      </c>
      <c r="J242" s="16" t="s">
        <v>14</v>
      </c>
      <c r="O242" s="15" t="s">
        <v>13</v>
      </c>
      <c r="Q242" s="17" t="s">
        <v>184</v>
      </c>
      <c r="R242" s="13">
        <v>-3105</v>
      </c>
      <c r="S242" s="1"/>
    </row>
    <row r="243" spans="1:19" hidden="1" x14ac:dyDescent="0.25">
      <c r="A243" s="10" t="s">
        <v>185</v>
      </c>
      <c r="B243" s="11" t="s">
        <v>165</v>
      </c>
      <c r="C243" s="10" t="s">
        <v>42</v>
      </c>
      <c r="D243" s="10" t="s">
        <v>19</v>
      </c>
      <c r="E243" s="12">
        <v>65979</v>
      </c>
      <c r="F243" s="13">
        <v>72447</v>
      </c>
      <c r="G243" s="13">
        <v>57300</v>
      </c>
      <c r="H243" s="18">
        <f t="shared" si="3"/>
        <v>15147</v>
      </c>
      <c r="I243" s="14">
        <v>-0.209076980413268</v>
      </c>
      <c r="J243" s="16" t="s">
        <v>14</v>
      </c>
      <c r="O243" s="15" t="s">
        <v>13</v>
      </c>
      <c r="Q243" s="17" t="s">
        <v>186</v>
      </c>
      <c r="R243" s="13">
        <v>-6110</v>
      </c>
      <c r="S243" s="1"/>
    </row>
    <row r="244" spans="1:19" hidden="1" x14ac:dyDescent="0.25">
      <c r="A244" s="10" t="s">
        <v>187</v>
      </c>
      <c r="B244" s="11" t="s">
        <v>165</v>
      </c>
      <c r="C244" s="10" t="s">
        <v>42</v>
      </c>
      <c r="D244" s="10" t="s">
        <v>19</v>
      </c>
      <c r="E244" s="12">
        <v>141136</v>
      </c>
      <c r="F244" s="13">
        <v>72447</v>
      </c>
      <c r="G244" s="13">
        <v>56600</v>
      </c>
      <c r="H244" s="18">
        <f t="shared" si="3"/>
        <v>15847</v>
      </c>
      <c r="I244" s="14">
        <v>-0.21873921625464099</v>
      </c>
      <c r="J244" s="16" t="s">
        <v>14</v>
      </c>
      <c r="O244" s="15" t="s">
        <v>13</v>
      </c>
      <c r="Q244" s="17" t="s">
        <v>188</v>
      </c>
      <c r="R244" s="13">
        <v>-4320</v>
      </c>
      <c r="S244" s="1"/>
    </row>
    <row r="245" spans="1:19" hidden="1" x14ac:dyDescent="0.25">
      <c r="A245" s="10" t="s">
        <v>189</v>
      </c>
      <c r="B245" s="11" t="s">
        <v>165</v>
      </c>
      <c r="C245" s="10" t="s">
        <v>42</v>
      </c>
      <c r="D245" s="10" t="s">
        <v>19</v>
      </c>
      <c r="E245" s="12">
        <v>117277</v>
      </c>
      <c r="F245" s="13">
        <v>72447</v>
      </c>
      <c r="G245" s="13">
        <v>52600</v>
      </c>
      <c r="H245" s="18">
        <f t="shared" si="3"/>
        <v>19847</v>
      </c>
      <c r="I245" s="14">
        <v>-0.273951992491062</v>
      </c>
      <c r="J245" s="16" t="s">
        <v>14</v>
      </c>
      <c r="O245" s="15" t="s">
        <v>13</v>
      </c>
      <c r="Q245" s="17" t="s">
        <v>190</v>
      </c>
      <c r="R245" s="13">
        <v>-8970</v>
      </c>
      <c r="S245" s="1"/>
    </row>
    <row r="246" spans="1:19" hidden="1" x14ac:dyDescent="0.25">
      <c r="A246" s="10" t="s">
        <v>193</v>
      </c>
      <c r="B246" s="11" t="s">
        <v>165</v>
      </c>
      <c r="C246" s="10" t="s">
        <v>42</v>
      </c>
      <c r="D246" s="10" t="s">
        <v>19</v>
      </c>
      <c r="E246" s="12">
        <v>98070</v>
      </c>
      <c r="F246" s="13">
        <v>72447</v>
      </c>
      <c r="G246" s="13">
        <v>48200</v>
      </c>
      <c r="H246" s="18">
        <f t="shared" si="3"/>
        <v>24247</v>
      </c>
      <c r="I246" s="14">
        <v>-0.33468604635112598</v>
      </c>
      <c r="J246" s="16" t="s">
        <v>14</v>
      </c>
      <c r="O246" s="15" t="s">
        <v>13</v>
      </c>
      <c r="Q246" s="17" t="s">
        <v>194</v>
      </c>
      <c r="R246" s="13">
        <v>-14595</v>
      </c>
      <c r="S246" s="1"/>
    </row>
    <row r="247" spans="1:19" hidden="1" x14ac:dyDescent="0.25">
      <c r="A247" s="10" t="s">
        <v>342</v>
      </c>
      <c r="B247" s="11" t="s">
        <v>343</v>
      </c>
      <c r="C247" s="10" t="s">
        <v>18</v>
      </c>
      <c r="D247" s="10" t="s">
        <v>19</v>
      </c>
      <c r="E247" s="12">
        <v>127548</v>
      </c>
      <c r="F247" s="13">
        <v>73647</v>
      </c>
      <c r="G247" s="13">
        <v>66300</v>
      </c>
      <c r="H247" s="18">
        <f t="shared" si="3"/>
        <v>7347</v>
      </c>
      <c r="I247" s="14">
        <v>-9.97596643447798E-2</v>
      </c>
      <c r="J247" s="16" t="s">
        <v>21</v>
      </c>
      <c r="O247" s="15" t="s">
        <v>13</v>
      </c>
      <c r="Q247" s="17" t="s">
        <v>21</v>
      </c>
      <c r="R247" s="13">
        <v>0</v>
      </c>
      <c r="S247" s="1"/>
    </row>
    <row r="248" spans="1:19" x14ac:dyDescent="0.25">
      <c r="A248" s="10" t="s">
        <v>525</v>
      </c>
      <c r="B248" s="11" t="s">
        <v>526</v>
      </c>
      <c r="C248" s="10" t="s">
        <v>35</v>
      </c>
      <c r="D248" s="10" t="s">
        <v>31</v>
      </c>
      <c r="E248" s="12">
        <v>45546</v>
      </c>
      <c r="F248" s="13">
        <v>90721</v>
      </c>
      <c r="G248" s="13">
        <v>79500</v>
      </c>
      <c r="H248" s="18">
        <f t="shared" si="3"/>
        <v>11221</v>
      </c>
      <c r="I248" s="14">
        <v>-0.10393255260874</v>
      </c>
      <c r="J248" s="16" t="s">
        <v>21</v>
      </c>
      <c r="O248" s="15"/>
      <c r="Q248" s="17"/>
      <c r="R248" s="13"/>
      <c r="S248" s="1"/>
    </row>
    <row r="249" spans="1:19" hidden="1" x14ac:dyDescent="0.25">
      <c r="A249" s="10" t="s">
        <v>43</v>
      </c>
      <c r="B249" s="11" t="s">
        <v>44</v>
      </c>
      <c r="C249" s="10" t="s">
        <v>45</v>
      </c>
      <c r="D249" s="10" t="s">
        <v>12</v>
      </c>
      <c r="E249" s="12">
        <v>58702</v>
      </c>
      <c r="F249" s="13">
        <v>75771</v>
      </c>
      <c r="G249" s="13">
        <v>62000</v>
      </c>
      <c r="H249" s="18">
        <f t="shared" si="3"/>
        <v>13771</v>
      </c>
      <c r="I249" s="14">
        <v>-0.18174499478692399</v>
      </c>
      <c r="J249" s="16" t="s">
        <v>20</v>
      </c>
      <c r="O249" s="15" t="s">
        <v>13</v>
      </c>
      <c r="Q249" s="17" t="s">
        <v>46</v>
      </c>
      <c r="R249" s="13">
        <v>-5580</v>
      </c>
      <c r="S249" s="1"/>
    </row>
    <row r="250" spans="1:19" hidden="1" x14ac:dyDescent="0.25">
      <c r="A250" s="10" t="s">
        <v>380</v>
      </c>
      <c r="B250" s="11" t="s">
        <v>44</v>
      </c>
      <c r="C250" s="10" t="s">
        <v>18</v>
      </c>
      <c r="D250" s="10" t="s">
        <v>19</v>
      </c>
      <c r="E250" s="12">
        <v>70857</v>
      </c>
      <c r="F250" s="13">
        <v>69484</v>
      </c>
      <c r="G250" s="13">
        <v>55300</v>
      </c>
      <c r="H250" s="18">
        <f t="shared" si="3"/>
        <v>14184</v>
      </c>
      <c r="I250" s="14">
        <v>-0.20413332565770501</v>
      </c>
      <c r="J250" s="16" t="s">
        <v>23</v>
      </c>
      <c r="O250" s="15" t="s">
        <v>13</v>
      </c>
      <c r="Q250" s="17" t="s">
        <v>381</v>
      </c>
      <c r="R250" s="13">
        <v>-5075</v>
      </c>
      <c r="S250" s="1"/>
    </row>
    <row r="251" spans="1:19" x14ac:dyDescent="0.25">
      <c r="A251" s="10" t="s">
        <v>434</v>
      </c>
      <c r="B251" s="11" t="s">
        <v>44</v>
      </c>
      <c r="C251" s="10" t="s">
        <v>18</v>
      </c>
      <c r="D251" s="10" t="s">
        <v>19</v>
      </c>
      <c r="E251" s="12">
        <v>83218</v>
      </c>
      <c r="F251" s="13">
        <v>69484</v>
      </c>
      <c r="G251" s="13">
        <v>60800</v>
      </c>
      <c r="H251" s="18">
        <f t="shared" si="3"/>
        <v>8684</v>
      </c>
      <c r="I251" s="14">
        <v>-0.12497841229635601</v>
      </c>
      <c r="J251" s="16" t="s">
        <v>20</v>
      </c>
      <c r="O251" s="15"/>
      <c r="Q251" s="17"/>
      <c r="R251" s="13"/>
      <c r="S251" s="1"/>
    </row>
    <row r="252" spans="1:19" hidden="1" x14ac:dyDescent="0.25">
      <c r="A252" s="10" t="s">
        <v>436</v>
      </c>
      <c r="B252" s="11" t="s">
        <v>44</v>
      </c>
      <c r="C252" s="10" t="s">
        <v>18</v>
      </c>
      <c r="D252" s="10" t="s">
        <v>52</v>
      </c>
      <c r="E252" s="12">
        <v>47086</v>
      </c>
      <c r="F252" s="13">
        <v>69484</v>
      </c>
      <c r="G252" s="13">
        <v>60300</v>
      </c>
      <c r="H252" s="18">
        <f t="shared" si="3"/>
        <v>9184</v>
      </c>
      <c r="I252" s="14">
        <v>-0.13217431351102399</v>
      </c>
      <c r="J252" s="16" t="s">
        <v>20</v>
      </c>
      <c r="O252" s="15" t="s">
        <v>13</v>
      </c>
      <c r="Q252" s="17" t="s">
        <v>437</v>
      </c>
      <c r="R252" s="13">
        <v>-4580</v>
      </c>
      <c r="S252" s="1"/>
    </row>
    <row r="253" spans="1:19" x14ac:dyDescent="0.25">
      <c r="A253" s="10" t="s">
        <v>440</v>
      </c>
      <c r="B253" s="11" t="s">
        <v>44</v>
      </c>
      <c r="C253" s="10" t="s">
        <v>18</v>
      </c>
      <c r="D253" s="10" t="s">
        <v>19</v>
      </c>
      <c r="E253" s="12">
        <v>62259</v>
      </c>
      <c r="F253" s="13">
        <v>69484</v>
      </c>
      <c r="G253" s="13">
        <v>59300</v>
      </c>
      <c r="H253" s="18">
        <f t="shared" si="3"/>
        <v>10184</v>
      </c>
      <c r="I253" s="14">
        <v>-0.14656611594036001</v>
      </c>
      <c r="J253" s="16" t="s">
        <v>21</v>
      </c>
      <c r="O253" s="15"/>
      <c r="Q253" s="17"/>
      <c r="R253" s="13"/>
      <c r="S253" s="1"/>
    </row>
    <row r="254" spans="1:19" x14ac:dyDescent="0.25">
      <c r="A254" s="10" t="s">
        <v>444</v>
      </c>
      <c r="B254" s="11" t="s">
        <v>44</v>
      </c>
      <c r="C254" s="10" t="s">
        <v>18</v>
      </c>
      <c r="D254" s="10" t="s">
        <v>19</v>
      </c>
      <c r="E254" s="12">
        <v>219419</v>
      </c>
      <c r="F254" s="13">
        <v>69484</v>
      </c>
      <c r="G254" s="13">
        <v>57800</v>
      </c>
      <c r="H254" s="18">
        <f t="shared" si="3"/>
        <v>11684</v>
      </c>
      <c r="I254" s="14">
        <v>-0.16815381958436501</v>
      </c>
      <c r="J254" s="16" t="s">
        <v>20</v>
      </c>
      <c r="O254" s="15"/>
      <c r="Q254" s="17"/>
      <c r="R254" s="13"/>
      <c r="S254" s="1"/>
    </row>
    <row r="255" spans="1:19" x14ac:dyDescent="0.25">
      <c r="A255" s="10" t="s">
        <v>446</v>
      </c>
      <c r="B255" s="11" t="s">
        <v>44</v>
      </c>
      <c r="C255" s="10" t="s">
        <v>18</v>
      </c>
      <c r="D255" s="10" t="s">
        <v>19</v>
      </c>
      <c r="E255" s="12">
        <v>184980</v>
      </c>
      <c r="F255" s="13">
        <v>69484</v>
      </c>
      <c r="G255" s="13">
        <v>57400</v>
      </c>
      <c r="H255" s="18">
        <f t="shared" si="3"/>
        <v>12084</v>
      </c>
      <c r="I255" s="14">
        <v>-0.173910540556099</v>
      </c>
      <c r="J255" s="16" t="s">
        <v>20</v>
      </c>
      <c r="O255" s="15"/>
      <c r="Q255" s="17"/>
      <c r="R255" s="13"/>
      <c r="S255" s="1"/>
    </row>
    <row r="256" spans="1:19" x14ac:dyDescent="0.25">
      <c r="A256" s="10" t="s">
        <v>452</v>
      </c>
      <c r="B256" s="11" t="s">
        <v>44</v>
      </c>
      <c r="C256" s="10" t="s">
        <v>18</v>
      </c>
      <c r="D256" s="10" t="s">
        <v>19</v>
      </c>
      <c r="E256" s="12">
        <v>253289</v>
      </c>
      <c r="F256" s="13">
        <v>69484</v>
      </c>
      <c r="G256" s="13">
        <v>56900</v>
      </c>
      <c r="H256" s="18">
        <f t="shared" si="3"/>
        <v>12584</v>
      </c>
      <c r="I256" s="14">
        <v>-0.18110644177076701</v>
      </c>
      <c r="J256" s="16" t="s">
        <v>20</v>
      </c>
      <c r="O256" s="15"/>
      <c r="Q256" s="17"/>
      <c r="R256" s="13"/>
      <c r="S256" s="1"/>
    </row>
    <row r="257" spans="1:19" x14ac:dyDescent="0.25">
      <c r="A257" s="10" t="s">
        <v>453</v>
      </c>
      <c r="B257" s="11" t="s">
        <v>44</v>
      </c>
      <c r="C257" s="10" t="s">
        <v>18</v>
      </c>
      <c r="D257" s="10" t="s">
        <v>19</v>
      </c>
      <c r="E257" s="12">
        <v>229050</v>
      </c>
      <c r="F257" s="13">
        <v>69484</v>
      </c>
      <c r="G257" s="13">
        <v>56900</v>
      </c>
      <c r="H257" s="18">
        <f t="shared" si="3"/>
        <v>12584</v>
      </c>
      <c r="I257" s="14">
        <v>-0.18110644177076701</v>
      </c>
      <c r="J257" s="16" t="s">
        <v>20</v>
      </c>
      <c r="O257" s="15"/>
      <c r="Q257" s="17"/>
      <c r="R257" s="13"/>
      <c r="S257" s="1"/>
    </row>
    <row r="258" spans="1:19" x14ac:dyDescent="0.25">
      <c r="A258" s="10" t="s">
        <v>454</v>
      </c>
      <c r="B258" s="11" t="s">
        <v>44</v>
      </c>
      <c r="C258" s="10" t="s">
        <v>18</v>
      </c>
      <c r="D258" s="10" t="s">
        <v>19</v>
      </c>
      <c r="E258" s="12">
        <v>219154</v>
      </c>
      <c r="F258" s="13">
        <v>69484</v>
      </c>
      <c r="G258" s="13">
        <v>56800</v>
      </c>
      <c r="H258" s="18">
        <f t="shared" ref="H258:H321" si="4">F258-G258</f>
        <v>12684</v>
      </c>
      <c r="I258" s="14">
        <v>-0.182545622013701</v>
      </c>
      <c r="J258" s="16" t="s">
        <v>20</v>
      </c>
      <c r="O258" s="15"/>
      <c r="Q258" s="17"/>
      <c r="R258" s="13"/>
      <c r="S258" s="1"/>
    </row>
    <row r="259" spans="1:19" x14ac:dyDescent="0.25">
      <c r="A259" s="10" t="s">
        <v>455</v>
      </c>
      <c r="B259" s="11" t="s">
        <v>44</v>
      </c>
      <c r="C259" s="10" t="s">
        <v>18</v>
      </c>
      <c r="D259" s="10" t="s">
        <v>19</v>
      </c>
      <c r="E259" s="12">
        <v>228786</v>
      </c>
      <c r="F259" s="13">
        <v>69484</v>
      </c>
      <c r="G259" s="13">
        <v>56100</v>
      </c>
      <c r="H259" s="18">
        <f t="shared" si="4"/>
        <v>13384</v>
      </c>
      <c r="I259" s="14">
        <v>-0.192619883714236</v>
      </c>
      <c r="J259" s="16" t="s">
        <v>20</v>
      </c>
      <c r="O259" s="15"/>
      <c r="Q259" s="17"/>
      <c r="R259" s="13"/>
      <c r="S259" s="1"/>
    </row>
    <row r="260" spans="1:19" x14ac:dyDescent="0.25">
      <c r="A260" s="10" t="s">
        <v>456</v>
      </c>
      <c r="B260" s="11" t="s">
        <v>44</v>
      </c>
      <c r="C260" s="10" t="s">
        <v>18</v>
      </c>
      <c r="D260" s="10" t="s">
        <v>19</v>
      </c>
      <c r="E260" s="12">
        <v>229634</v>
      </c>
      <c r="F260" s="13">
        <v>69484</v>
      </c>
      <c r="G260" s="13">
        <v>55900</v>
      </c>
      <c r="H260" s="18">
        <f t="shared" si="4"/>
        <v>13584</v>
      </c>
      <c r="I260" s="14">
        <v>-0.195498244200104</v>
      </c>
      <c r="J260" s="16" t="s">
        <v>14</v>
      </c>
      <c r="O260" s="15"/>
      <c r="Q260" s="17"/>
      <c r="R260" s="13"/>
      <c r="S260" s="1"/>
    </row>
    <row r="261" spans="1:19" x14ac:dyDescent="0.25">
      <c r="A261" s="10" t="s">
        <v>457</v>
      </c>
      <c r="B261" s="11" t="s">
        <v>44</v>
      </c>
      <c r="C261" s="10" t="s">
        <v>18</v>
      </c>
      <c r="D261" s="10" t="s">
        <v>19</v>
      </c>
      <c r="E261" s="12">
        <v>240900</v>
      </c>
      <c r="F261" s="13">
        <v>69484</v>
      </c>
      <c r="G261" s="13">
        <v>55600</v>
      </c>
      <c r="H261" s="18">
        <f t="shared" si="4"/>
        <v>13884</v>
      </c>
      <c r="I261" s="14">
        <v>-0.19981578492890401</v>
      </c>
      <c r="J261" s="16" t="s">
        <v>20</v>
      </c>
      <c r="O261" s="15"/>
      <c r="Q261" s="17"/>
      <c r="R261" s="13"/>
      <c r="S261" s="1"/>
    </row>
    <row r="262" spans="1:19" x14ac:dyDescent="0.25">
      <c r="A262" s="10" t="s">
        <v>460</v>
      </c>
      <c r="B262" s="11" t="s">
        <v>44</v>
      </c>
      <c r="C262" s="10" t="s">
        <v>18</v>
      </c>
      <c r="D262" s="10" t="s">
        <v>19</v>
      </c>
      <c r="E262" s="12">
        <v>159330</v>
      </c>
      <c r="F262" s="13">
        <v>69484</v>
      </c>
      <c r="G262" s="13">
        <v>55100</v>
      </c>
      <c r="H262" s="18">
        <f t="shared" si="4"/>
        <v>14384</v>
      </c>
      <c r="I262" s="14">
        <v>-0.20701168614357299</v>
      </c>
      <c r="J262" s="16" t="s">
        <v>23</v>
      </c>
      <c r="O262" s="15"/>
      <c r="Q262" s="17"/>
      <c r="R262" s="13"/>
      <c r="S262" s="1"/>
    </row>
    <row r="263" spans="1:19" x14ac:dyDescent="0.25">
      <c r="A263" s="10" t="s">
        <v>461</v>
      </c>
      <c r="B263" s="11" t="s">
        <v>44</v>
      </c>
      <c r="C263" s="10" t="s">
        <v>18</v>
      </c>
      <c r="D263" s="10" t="s">
        <v>19</v>
      </c>
      <c r="E263" s="12">
        <v>170657</v>
      </c>
      <c r="F263" s="13">
        <v>69484</v>
      </c>
      <c r="G263" s="13">
        <v>54500</v>
      </c>
      <c r="H263" s="18">
        <f t="shared" si="4"/>
        <v>14984</v>
      </c>
      <c r="I263" s="14">
        <v>-0.21564676760117399</v>
      </c>
      <c r="J263" s="16" t="s">
        <v>20</v>
      </c>
      <c r="O263" s="15"/>
      <c r="Q263" s="17"/>
      <c r="R263" s="13"/>
      <c r="S263" s="1"/>
    </row>
    <row r="264" spans="1:19" x14ac:dyDescent="0.25">
      <c r="A264" s="10" t="s">
        <v>462</v>
      </c>
      <c r="B264" s="11" t="s">
        <v>44</v>
      </c>
      <c r="C264" s="10" t="s">
        <v>18</v>
      </c>
      <c r="D264" s="10" t="s">
        <v>19</v>
      </c>
      <c r="E264" s="12">
        <v>266888</v>
      </c>
      <c r="F264" s="13">
        <v>69484</v>
      </c>
      <c r="G264" s="13">
        <v>54400</v>
      </c>
      <c r="H264" s="18">
        <f t="shared" si="4"/>
        <v>15084</v>
      </c>
      <c r="I264" s="14">
        <v>-0.21708594784410801</v>
      </c>
      <c r="J264" s="16" t="s">
        <v>14</v>
      </c>
      <c r="O264" s="15"/>
      <c r="Q264" s="17"/>
      <c r="R264" s="13"/>
      <c r="S264" s="1"/>
    </row>
    <row r="265" spans="1:19" x14ac:dyDescent="0.25">
      <c r="A265" s="10" t="s">
        <v>463</v>
      </c>
      <c r="B265" s="11" t="s">
        <v>44</v>
      </c>
      <c r="C265" s="10" t="s">
        <v>18</v>
      </c>
      <c r="D265" s="10" t="s">
        <v>19</v>
      </c>
      <c r="E265" s="12">
        <v>158832</v>
      </c>
      <c r="F265" s="13">
        <v>69484</v>
      </c>
      <c r="G265" s="13">
        <v>54300</v>
      </c>
      <c r="H265" s="18">
        <f t="shared" si="4"/>
        <v>15184</v>
      </c>
      <c r="I265" s="14">
        <v>-0.218525128087042</v>
      </c>
      <c r="J265" s="16" t="s">
        <v>14</v>
      </c>
      <c r="O265" s="15"/>
      <c r="Q265" s="17"/>
      <c r="R265" s="13"/>
      <c r="S265" s="1"/>
    </row>
    <row r="266" spans="1:19" x14ac:dyDescent="0.25">
      <c r="A266" s="10" t="s">
        <v>466</v>
      </c>
      <c r="B266" s="11" t="s">
        <v>44</v>
      </c>
      <c r="C266" s="10" t="s">
        <v>18</v>
      </c>
      <c r="D266" s="10" t="s">
        <v>19</v>
      </c>
      <c r="E266" s="12">
        <v>197816</v>
      </c>
      <c r="F266" s="13">
        <v>69484</v>
      </c>
      <c r="G266" s="13">
        <v>53100</v>
      </c>
      <c r="H266" s="18">
        <f t="shared" si="4"/>
        <v>16384</v>
      </c>
      <c r="I266" s="14">
        <v>-0.235795291002245</v>
      </c>
      <c r="J266" s="16" t="s">
        <v>14</v>
      </c>
      <c r="O266" s="15"/>
      <c r="Q266" s="17"/>
      <c r="R266" s="13"/>
      <c r="S266" s="1"/>
    </row>
    <row r="267" spans="1:19" x14ac:dyDescent="0.25">
      <c r="A267" s="10" t="s">
        <v>469</v>
      </c>
      <c r="B267" s="11" t="s">
        <v>44</v>
      </c>
      <c r="C267" s="10" t="s">
        <v>18</v>
      </c>
      <c r="D267" s="10" t="s">
        <v>19</v>
      </c>
      <c r="E267" s="12">
        <v>235838</v>
      </c>
      <c r="F267" s="13">
        <v>69484</v>
      </c>
      <c r="G267" s="13">
        <v>53000</v>
      </c>
      <c r="H267" s="18">
        <f t="shared" si="4"/>
        <v>16484</v>
      </c>
      <c r="I267" s="14">
        <v>-0.23723447124517899</v>
      </c>
      <c r="J267" s="16" t="s">
        <v>14</v>
      </c>
      <c r="O267" s="15"/>
      <c r="Q267" s="17"/>
      <c r="R267" s="13"/>
      <c r="S267" s="1"/>
    </row>
    <row r="268" spans="1:19" x14ac:dyDescent="0.25">
      <c r="A268" s="10" t="s">
        <v>470</v>
      </c>
      <c r="B268" s="11" t="s">
        <v>44</v>
      </c>
      <c r="C268" s="10" t="s">
        <v>18</v>
      </c>
      <c r="D268" s="10" t="s">
        <v>19</v>
      </c>
      <c r="E268" s="12">
        <v>107120</v>
      </c>
      <c r="F268" s="13">
        <v>69484</v>
      </c>
      <c r="G268" s="13">
        <v>52500</v>
      </c>
      <c r="H268" s="18">
        <f t="shared" si="4"/>
        <v>16984</v>
      </c>
      <c r="I268" s="14">
        <v>-0.244430372459847</v>
      </c>
      <c r="J268" s="16" t="s">
        <v>23</v>
      </c>
      <c r="O268" s="15"/>
      <c r="Q268" s="17"/>
      <c r="R268" s="13"/>
      <c r="S268" s="1"/>
    </row>
    <row r="269" spans="1:19" hidden="1" x14ac:dyDescent="0.25">
      <c r="A269" s="10" t="s">
        <v>471</v>
      </c>
      <c r="B269" s="11" t="s">
        <v>44</v>
      </c>
      <c r="C269" s="10" t="s">
        <v>18</v>
      </c>
      <c r="D269" s="10" t="s">
        <v>19</v>
      </c>
      <c r="E269" s="12">
        <v>67072</v>
      </c>
      <c r="F269" s="13">
        <v>69484</v>
      </c>
      <c r="G269" s="13">
        <v>51900</v>
      </c>
      <c r="H269" s="18">
        <f t="shared" si="4"/>
        <v>17584</v>
      </c>
      <c r="I269" s="14">
        <v>-0.253065453917449</v>
      </c>
      <c r="J269" s="16" t="s">
        <v>20</v>
      </c>
      <c r="O269" s="15" t="s">
        <v>13</v>
      </c>
      <c r="Q269" s="17" t="s">
        <v>472</v>
      </c>
      <c r="R269" s="13">
        <v>-11333</v>
      </c>
      <c r="S269" s="1"/>
    </row>
    <row r="270" spans="1:19" x14ac:dyDescent="0.25">
      <c r="A270" s="10" t="s">
        <v>473</v>
      </c>
      <c r="B270" s="11" t="s">
        <v>44</v>
      </c>
      <c r="C270" s="10" t="s">
        <v>18</v>
      </c>
      <c r="D270" s="10" t="s">
        <v>19</v>
      </c>
      <c r="E270" s="12">
        <v>252132</v>
      </c>
      <c r="F270" s="13">
        <v>69484</v>
      </c>
      <c r="G270" s="13">
        <v>51700</v>
      </c>
      <c r="H270" s="18">
        <f t="shared" si="4"/>
        <v>17784</v>
      </c>
      <c r="I270" s="14">
        <v>-0.25594381440331598</v>
      </c>
      <c r="J270" s="16" t="s">
        <v>23</v>
      </c>
      <c r="O270" s="15"/>
      <c r="Q270" s="17"/>
      <c r="R270" s="13"/>
      <c r="S270" s="1"/>
    </row>
    <row r="271" spans="1:19" x14ac:dyDescent="0.25">
      <c r="A271" s="10" t="s">
        <v>474</v>
      </c>
      <c r="B271" s="11" t="s">
        <v>44</v>
      </c>
      <c r="C271" s="10" t="s">
        <v>18</v>
      </c>
      <c r="D271" s="10" t="s">
        <v>19</v>
      </c>
      <c r="E271" s="12">
        <v>204274</v>
      </c>
      <c r="F271" s="13">
        <v>69484</v>
      </c>
      <c r="G271" s="13">
        <v>51700</v>
      </c>
      <c r="H271" s="18">
        <f t="shared" si="4"/>
        <v>17784</v>
      </c>
      <c r="I271" s="14">
        <v>-0.25594381440331598</v>
      </c>
      <c r="J271" s="16" t="s">
        <v>23</v>
      </c>
      <c r="O271" s="15"/>
      <c r="Q271" s="17"/>
      <c r="R271" s="13"/>
      <c r="S271" s="1"/>
    </row>
    <row r="272" spans="1:19" x14ac:dyDescent="0.25">
      <c r="A272" s="10" t="s">
        <v>476</v>
      </c>
      <c r="B272" s="11" t="s">
        <v>44</v>
      </c>
      <c r="C272" s="10" t="s">
        <v>18</v>
      </c>
      <c r="D272" s="10" t="s">
        <v>19</v>
      </c>
      <c r="E272" s="12">
        <v>174239</v>
      </c>
      <c r="F272" s="13">
        <v>69484</v>
      </c>
      <c r="G272" s="13">
        <v>49500</v>
      </c>
      <c r="H272" s="18">
        <f t="shared" si="4"/>
        <v>19984</v>
      </c>
      <c r="I272" s="14">
        <v>-0.28760577974785601</v>
      </c>
      <c r="J272" s="16" t="s">
        <v>20</v>
      </c>
      <c r="O272" s="15"/>
      <c r="Q272" s="17"/>
      <c r="R272" s="13"/>
      <c r="S272" s="1"/>
    </row>
    <row r="273" spans="1:19" hidden="1" x14ac:dyDescent="0.25">
      <c r="A273" s="10" t="s">
        <v>497</v>
      </c>
      <c r="B273" s="11" t="s">
        <v>44</v>
      </c>
      <c r="C273" s="10" t="s">
        <v>18</v>
      </c>
      <c r="D273" s="10" t="s">
        <v>12</v>
      </c>
      <c r="E273" s="12">
        <v>54579</v>
      </c>
      <c r="F273" s="13">
        <v>69484</v>
      </c>
      <c r="G273" s="13">
        <v>56700</v>
      </c>
      <c r="H273" s="18">
        <f t="shared" si="4"/>
        <v>12784</v>
      </c>
      <c r="I273" s="14">
        <v>-0.18398480225663499</v>
      </c>
      <c r="J273" s="16" t="s">
        <v>14</v>
      </c>
      <c r="O273" s="15" t="s">
        <v>13</v>
      </c>
      <c r="Q273" s="17" t="s">
        <v>498</v>
      </c>
      <c r="R273" s="13">
        <v>-5250</v>
      </c>
      <c r="S273" s="1"/>
    </row>
    <row r="274" spans="1:19" hidden="1" x14ac:dyDescent="0.25">
      <c r="A274" s="10" t="s">
        <v>514</v>
      </c>
      <c r="B274" s="11" t="s">
        <v>44</v>
      </c>
      <c r="C274" s="10" t="s">
        <v>35</v>
      </c>
      <c r="D274" s="10" t="s">
        <v>19</v>
      </c>
      <c r="E274" s="12">
        <v>112340</v>
      </c>
      <c r="F274" s="13">
        <v>69484</v>
      </c>
      <c r="G274" s="13">
        <v>58500</v>
      </c>
      <c r="H274" s="18">
        <f t="shared" si="4"/>
        <v>10984</v>
      </c>
      <c r="I274" s="14">
        <v>-0.15807955788382899</v>
      </c>
      <c r="J274" s="16" t="s">
        <v>20</v>
      </c>
      <c r="O274" s="15" t="s">
        <v>13</v>
      </c>
      <c r="Q274" s="17" t="s">
        <v>515</v>
      </c>
      <c r="R274" s="13">
        <v>-2925</v>
      </c>
      <c r="S274" s="1"/>
    </row>
    <row r="275" spans="1:19" x14ac:dyDescent="0.25">
      <c r="A275" s="10" t="s">
        <v>532</v>
      </c>
      <c r="B275" s="11" t="s">
        <v>44</v>
      </c>
      <c r="C275" s="10" t="s">
        <v>35</v>
      </c>
      <c r="D275" s="10" t="s">
        <v>12</v>
      </c>
      <c r="E275" s="12">
        <v>91255</v>
      </c>
      <c r="F275" s="13">
        <v>69484</v>
      </c>
      <c r="G275" s="13">
        <v>63900</v>
      </c>
      <c r="H275" s="18">
        <f t="shared" si="4"/>
        <v>5584</v>
      </c>
      <c r="I275" s="14">
        <v>-8.0363824765413594E-2</v>
      </c>
      <c r="J275" s="16" t="s">
        <v>21</v>
      </c>
      <c r="O275" s="15"/>
      <c r="Q275" s="17"/>
      <c r="R275" s="13"/>
      <c r="S275" s="1"/>
    </row>
    <row r="276" spans="1:19" hidden="1" x14ac:dyDescent="0.25">
      <c r="A276" s="10" t="s">
        <v>536</v>
      </c>
      <c r="B276" s="11" t="s">
        <v>44</v>
      </c>
      <c r="C276" s="10" t="s">
        <v>35</v>
      </c>
      <c r="D276" s="10" t="s">
        <v>12</v>
      </c>
      <c r="E276" s="12">
        <v>84719</v>
      </c>
      <c r="F276" s="13">
        <v>69484</v>
      </c>
      <c r="G276" s="13">
        <v>62000</v>
      </c>
      <c r="H276" s="18">
        <f t="shared" si="4"/>
        <v>7484</v>
      </c>
      <c r="I276" s="14">
        <v>-0.107708249381153</v>
      </c>
      <c r="J276" s="16" t="s">
        <v>20</v>
      </c>
      <c r="O276" s="15" t="s">
        <v>13</v>
      </c>
      <c r="Q276" s="17" t="s">
        <v>537</v>
      </c>
      <c r="R276" s="13">
        <v>-900</v>
      </c>
      <c r="S276" s="1"/>
    </row>
    <row r="277" spans="1:19" hidden="1" x14ac:dyDescent="0.25">
      <c r="A277" s="10" t="s">
        <v>542</v>
      </c>
      <c r="B277" s="11" t="s">
        <v>44</v>
      </c>
      <c r="C277" s="10" t="s">
        <v>35</v>
      </c>
      <c r="D277" s="10" t="s">
        <v>19</v>
      </c>
      <c r="E277" s="12">
        <v>100543</v>
      </c>
      <c r="F277" s="13">
        <v>69484</v>
      </c>
      <c r="G277" s="13">
        <v>59900</v>
      </c>
      <c r="H277" s="18">
        <f t="shared" si="4"/>
        <v>9584</v>
      </c>
      <c r="I277" s="14">
        <v>-0.13793103448275901</v>
      </c>
      <c r="J277" s="16" t="s">
        <v>20</v>
      </c>
      <c r="O277" s="15" t="s">
        <v>13</v>
      </c>
      <c r="Q277" s="17" t="s">
        <v>543</v>
      </c>
      <c r="R277" s="13">
        <v>-2408</v>
      </c>
      <c r="S277" s="1"/>
    </row>
    <row r="278" spans="1:19" x14ac:dyDescent="0.25">
      <c r="A278" s="10" t="s">
        <v>567</v>
      </c>
      <c r="B278" s="11" t="s">
        <v>44</v>
      </c>
      <c r="C278" s="10" t="s">
        <v>35</v>
      </c>
      <c r="D278" s="10" t="s">
        <v>52</v>
      </c>
      <c r="E278" s="12">
        <v>36694</v>
      </c>
      <c r="F278" s="13">
        <v>69484</v>
      </c>
      <c r="G278" s="13">
        <v>59500</v>
      </c>
      <c r="H278" s="18">
        <f t="shared" si="4"/>
        <v>9984</v>
      </c>
      <c r="I278" s="14">
        <v>-0.143687755454493</v>
      </c>
      <c r="J278" s="16" t="s">
        <v>20</v>
      </c>
      <c r="O278" s="15"/>
      <c r="Q278" s="17"/>
      <c r="R278" s="13"/>
      <c r="S278" s="1"/>
    </row>
    <row r="279" spans="1:19" hidden="1" x14ac:dyDescent="0.25">
      <c r="A279" s="10" t="s">
        <v>570</v>
      </c>
      <c r="B279" s="11" t="s">
        <v>44</v>
      </c>
      <c r="C279" s="10" t="s">
        <v>35</v>
      </c>
      <c r="D279" s="10" t="s">
        <v>19</v>
      </c>
      <c r="E279" s="12">
        <v>58766</v>
      </c>
      <c r="F279" s="13">
        <v>69484</v>
      </c>
      <c r="G279" s="13">
        <v>51100</v>
      </c>
      <c r="H279" s="18">
        <f t="shared" si="4"/>
        <v>18384</v>
      </c>
      <c r="I279" s="14">
        <v>-0.26457889586091798</v>
      </c>
      <c r="J279" s="16" t="s">
        <v>20</v>
      </c>
      <c r="O279" s="15" t="s">
        <v>13</v>
      </c>
      <c r="Q279" s="17" t="s">
        <v>571</v>
      </c>
      <c r="R279" s="13">
        <v>-12810</v>
      </c>
      <c r="S279" s="1"/>
    </row>
    <row r="280" spans="1:19" hidden="1" x14ac:dyDescent="0.25">
      <c r="A280" s="10" t="s">
        <v>600</v>
      </c>
      <c r="B280" s="11" t="s">
        <v>44</v>
      </c>
      <c r="C280" s="10" t="s">
        <v>45</v>
      </c>
      <c r="D280" s="10" t="s">
        <v>19</v>
      </c>
      <c r="E280" s="12">
        <v>92848</v>
      </c>
      <c r="F280" s="13">
        <v>75771</v>
      </c>
      <c r="G280" s="13">
        <v>60700</v>
      </c>
      <c r="H280" s="18">
        <f t="shared" si="4"/>
        <v>15071</v>
      </c>
      <c r="I280" s="14">
        <v>-0.19890195457365001</v>
      </c>
      <c r="J280" s="16" t="s">
        <v>20</v>
      </c>
      <c r="O280" s="15" t="s">
        <v>13</v>
      </c>
      <c r="Q280" s="17" t="s">
        <v>601</v>
      </c>
      <c r="R280" s="13">
        <v>-7200</v>
      </c>
      <c r="S280" s="1"/>
    </row>
    <row r="281" spans="1:19" hidden="1" x14ac:dyDescent="0.25">
      <c r="A281" s="10" t="s">
        <v>668</v>
      </c>
      <c r="B281" s="11" t="s">
        <v>44</v>
      </c>
      <c r="C281" s="10" t="s">
        <v>35</v>
      </c>
      <c r="D281" s="10" t="s">
        <v>52</v>
      </c>
      <c r="E281" s="12">
        <v>22305</v>
      </c>
      <c r="F281" s="13">
        <v>69484</v>
      </c>
      <c r="G281" s="13">
        <v>64000</v>
      </c>
      <c r="H281" s="18">
        <f t="shared" si="4"/>
        <v>5484</v>
      </c>
      <c r="I281" s="14">
        <v>-7.8924644522480006E-2</v>
      </c>
      <c r="J281" s="16" t="s">
        <v>14</v>
      </c>
      <c r="O281" s="15" t="s">
        <v>653</v>
      </c>
      <c r="Q281" s="17" t="s">
        <v>669</v>
      </c>
      <c r="R281" s="13">
        <v>0</v>
      </c>
      <c r="S281" s="1"/>
    </row>
    <row r="282" spans="1:19" hidden="1" x14ac:dyDescent="0.25">
      <c r="A282" s="10" t="s">
        <v>721</v>
      </c>
      <c r="B282" s="11" t="s">
        <v>44</v>
      </c>
      <c r="C282" s="10" t="s">
        <v>18</v>
      </c>
      <c r="D282" s="10" t="s">
        <v>19</v>
      </c>
      <c r="E282" s="12">
        <v>24876</v>
      </c>
      <c r="F282" s="13">
        <v>69484</v>
      </c>
      <c r="G282" s="13">
        <v>64000</v>
      </c>
      <c r="H282" s="18">
        <f t="shared" si="4"/>
        <v>5484</v>
      </c>
      <c r="I282" s="14">
        <v>-7.8924644522480006E-2</v>
      </c>
      <c r="J282" s="16" t="s">
        <v>20</v>
      </c>
      <c r="O282" s="15" t="s">
        <v>653</v>
      </c>
      <c r="Q282" s="17" t="s">
        <v>722</v>
      </c>
      <c r="R282" s="13">
        <v>0</v>
      </c>
      <c r="S282" s="1"/>
    </row>
    <row r="283" spans="1:19" hidden="1" x14ac:dyDescent="0.25">
      <c r="A283" s="10" t="s">
        <v>628</v>
      </c>
      <c r="B283" s="11" t="s">
        <v>629</v>
      </c>
      <c r="C283" s="10" t="s">
        <v>45</v>
      </c>
      <c r="D283" s="10" t="s">
        <v>12</v>
      </c>
      <c r="E283" s="12">
        <v>67473</v>
      </c>
      <c r="F283" s="13">
        <v>77271</v>
      </c>
      <c r="G283" s="13">
        <v>62400</v>
      </c>
      <c r="H283" s="18">
        <f t="shared" si="4"/>
        <v>14871</v>
      </c>
      <c r="I283" s="14">
        <v>-0.17646593023716201</v>
      </c>
      <c r="J283" s="16" t="s">
        <v>23</v>
      </c>
      <c r="O283" s="15" t="s">
        <v>13</v>
      </c>
      <c r="Q283" s="17" t="s">
        <v>630</v>
      </c>
      <c r="R283" s="13">
        <v>-5708</v>
      </c>
      <c r="S283" s="1"/>
    </row>
    <row r="284" spans="1:19" hidden="1" x14ac:dyDescent="0.25">
      <c r="A284" s="10" t="s">
        <v>28</v>
      </c>
      <c r="B284" s="11" t="s">
        <v>29</v>
      </c>
      <c r="C284" s="10" t="s">
        <v>30</v>
      </c>
      <c r="D284" s="10" t="s">
        <v>31</v>
      </c>
      <c r="E284" s="12">
        <v>33133</v>
      </c>
      <c r="F284" s="13">
        <v>87998</v>
      </c>
      <c r="G284" s="13">
        <v>74100</v>
      </c>
      <c r="H284" s="18">
        <f t="shared" si="4"/>
        <v>13898</v>
      </c>
      <c r="I284" s="14">
        <v>-0.15793540762290001</v>
      </c>
      <c r="J284" s="16" t="s">
        <v>20</v>
      </c>
      <c r="O284" s="15" t="s">
        <v>13</v>
      </c>
      <c r="Q284" s="17" t="s">
        <v>32</v>
      </c>
      <c r="R284" s="13">
        <v>-2434</v>
      </c>
      <c r="S284" s="1"/>
    </row>
    <row r="285" spans="1:19" x14ac:dyDescent="0.25">
      <c r="A285" s="10" t="s">
        <v>398</v>
      </c>
      <c r="B285" s="11" t="s">
        <v>399</v>
      </c>
      <c r="C285" s="10" t="s">
        <v>18</v>
      </c>
      <c r="D285" s="10" t="s">
        <v>52</v>
      </c>
      <c r="E285" s="12">
        <v>90268</v>
      </c>
      <c r="F285" s="13">
        <v>92640</v>
      </c>
      <c r="G285" s="13">
        <v>81400</v>
      </c>
      <c r="H285" s="18">
        <f t="shared" si="4"/>
        <v>11240</v>
      </c>
      <c r="I285" s="14">
        <v>-0.1213298791019</v>
      </c>
      <c r="J285" s="16" t="s">
        <v>21</v>
      </c>
      <c r="O285" s="15"/>
      <c r="Q285" s="17"/>
      <c r="R285" s="13"/>
      <c r="S285" s="1"/>
    </row>
    <row r="286" spans="1:19" x14ac:dyDescent="0.25">
      <c r="A286" s="10" t="s">
        <v>527</v>
      </c>
      <c r="B286" s="11" t="s">
        <v>399</v>
      </c>
      <c r="C286" s="10" t="s">
        <v>35</v>
      </c>
      <c r="D286" s="10" t="s">
        <v>19</v>
      </c>
      <c r="E286" s="12">
        <v>34135</v>
      </c>
      <c r="F286" s="13">
        <v>92640</v>
      </c>
      <c r="G286" s="13">
        <v>78000</v>
      </c>
      <c r="H286" s="18">
        <f t="shared" si="4"/>
        <v>14640</v>
      </c>
      <c r="I286" s="14">
        <v>-0.158031088082902</v>
      </c>
      <c r="J286" s="16" t="s">
        <v>23</v>
      </c>
      <c r="O286" s="15"/>
      <c r="Q286" s="17"/>
      <c r="R286" s="13"/>
      <c r="S286" s="1"/>
    </row>
    <row r="287" spans="1:19" hidden="1" x14ac:dyDescent="0.25">
      <c r="A287" s="10" t="s">
        <v>740</v>
      </c>
      <c r="B287" s="11" t="s">
        <v>741</v>
      </c>
      <c r="C287" s="10" t="s">
        <v>285</v>
      </c>
      <c r="D287" s="10" t="s">
        <v>26</v>
      </c>
      <c r="E287" s="12">
        <v>76700</v>
      </c>
      <c r="F287" s="13">
        <v>343320</v>
      </c>
      <c r="G287" s="13">
        <v>346400</v>
      </c>
      <c r="H287" s="18">
        <f t="shared" si="4"/>
        <v>-3080</v>
      </c>
      <c r="I287" s="14">
        <v>0.14785605407912999</v>
      </c>
      <c r="J287" s="16" t="s">
        <v>20</v>
      </c>
      <c r="O287" s="15" t="s">
        <v>653</v>
      </c>
      <c r="Q287" s="17" t="s">
        <v>742</v>
      </c>
      <c r="R287" s="13">
        <v>0</v>
      </c>
      <c r="S287" s="1"/>
    </row>
    <row r="288" spans="1:19" hidden="1" x14ac:dyDescent="0.25">
      <c r="A288" s="10" t="s">
        <v>336</v>
      </c>
      <c r="B288" s="11" t="s">
        <v>337</v>
      </c>
      <c r="C288" s="10" t="s">
        <v>18</v>
      </c>
      <c r="D288" s="10" t="s">
        <v>52</v>
      </c>
      <c r="E288" s="12">
        <v>33605</v>
      </c>
      <c r="F288" s="13">
        <v>112323</v>
      </c>
      <c r="G288" s="13">
        <v>92100</v>
      </c>
      <c r="H288" s="18">
        <f t="shared" si="4"/>
        <v>20223</v>
      </c>
      <c r="I288" s="14">
        <v>-0.18004326807510501</v>
      </c>
      <c r="J288" s="16" t="s">
        <v>20</v>
      </c>
      <c r="O288" s="15" t="s">
        <v>13</v>
      </c>
      <c r="Q288" s="17" t="s">
        <v>338</v>
      </c>
      <c r="R288" s="13">
        <v>-9080</v>
      </c>
      <c r="S288" s="1"/>
    </row>
    <row r="289" spans="1:19" hidden="1" x14ac:dyDescent="0.25">
      <c r="A289" s="10" t="s">
        <v>94</v>
      </c>
      <c r="B289" s="11" t="s">
        <v>95</v>
      </c>
      <c r="C289" s="10" t="s">
        <v>81</v>
      </c>
      <c r="D289" s="10" t="s">
        <v>26</v>
      </c>
      <c r="E289" s="12">
        <v>113718</v>
      </c>
      <c r="F289" s="13">
        <v>75516</v>
      </c>
      <c r="G289" s="13">
        <v>58800</v>
      </c>
      <c r="H289" s="18">
        <f t="shared" si="4"/>
        <v>16716</v>
      </c>
      <c r="I289" s="14">
        <v>-0.221357063403782</v>
      </c>
      <c r="J289" s="16" t="s">
        <v>23</v>
      </c>
      <c r="O289" s="15" t="s">
        <v>13</v>
      </c>
      <c r="Q289" s="17" t="s">
        <v>96</v>
      </c>
      <c r="R289" s="13">
        <v>-4590</v>
      </c>
      <c r="S289" s="1"/>
    </row>
    <row r="290" spans="1:19" x14ac:dyDescent="0.25">
      <c r="A290" s="10" t="s">
        <v>39</v>
      </c>
      <c r="B290" s="11" t="s">
        <v>40</v>
      </c>
      <c r="C290" s="10" t="s">
        <v>35</v>
      </c>
      <c r="D290" s="10" t="s">
        <v>19</v>
      </c>
      <c r="E290" s="12">
        <v>50219</v>
      </c>
      <c r="F290" s="13">
        <v>173946</v>
      </c>
      <c r="G290" s="13">
        <v>137700</v>
      </c>
      <c r="H290" s="18">
        <f t="shared" si="4"/>
        <v>36246</v>
      </c>
      <c r="I290" s="14">
        <v>-0.20837501293504901</v>
      </c>
      <c r="J290" s="16" t="s">
        <v>20</v>
      </c>
      <c r="O290" s="15"/>
      <c r="Q290" s="17"/>
      <c r="R290" s="13"/>
      <c r="S290" s="1"/>
    </row>
    <row r="291" spans="1:19" x14ac:dyDescent="0.25">
      <c r="A291" s="10" t="s">
        <v>41</v>
      </c>
      <c r="B291" s="11" t="s">
        <v>40</v>
      </c>
      <c r="C291" s="10" t="s">
        <v>42</v>
      </c>
      <c r="D291" s="10" t="s">
        <v>19</v>
      </c>
      <c r="E291" s="12">
        <v>40308</v>
      </c>
      <c r="F291" s="13">
        <v>144160</v>
      </c>
      <c r="G291" s="13">
        <v>119000</v>
      </c>
      <c r="H291" s="18">
        <f t="shared" si="4"/>
        <v>25160</v>
      </c>
      <c r="I291" s="14">
        <v>-0.174528301886792</v>
      </c>
      <c r="J291" s="16" t="s">
        <v>20</v>
      </c>
      <c r="O291" s="15"/>
      <c r="Q291" s="17"/>
      <c r="R291" s="13"/>
      <c r="S291" s="1"/>
    </row>
    <row r="292" spans="1:19" hidden="1" x14ac:dyDescent="0.25">
      <c r="A292" s="10" t="s">
        <v>158</v>
      </c>
      <c r="B292" s="11" t="s">
        <v>40</v>
      </c>
      <c r="C292" s="10" t="s">
        <v>42</v>
      </c>
      <c r="D292" s="10" t="s">
        <v>19</v>
      </c>
      <c r="E292" s="12">
        <v>21725</v>
      </c>
      <c r="F292" s="13">
        <v>144160</v>
      </c>
      <c r="G292" s="13">
        <v>111900</v>
      </c>
      <c r="H292" s="18">
        <f t="shared" si="4"/>
        <v>32260</v>
      </c>
      <c r="I292" s="14">
        <v>-0.223779134295228</v>
      </c>
      <c r="J292" s="16" t="s">
        <v>23</v>
      </c>
      <c r="O292" s="15" t="s">
        <v>13</v>
      </c>
      <c r="Q292" s="17" t="s">
        <v>159</v>
      </c>
      <c r="R292" s="13">
        <v>-9615</v>
      </c>
      <c r="S292" s="1"/>
    </row>
    <row r="293" spans="1:19" hidden="1" x14ac:dyDescent="0.25">
      <c r="A293" s="10" t="s">
        <v>160</v>
      </c>
      <c r="B293" s="11" t="s">
        <v>40</v>
      </c>
      <c r="C293" s="10" t="s">
        <v>42</v>
      </c>
      <c r="D293" s="10" t="s">
        <v>19</v>
      </c>
      <c r="E293" s="12">
        <v>33746</v>
      </c>
      <c r="F293" s="13">
        <v>144160</v>
      </c>
      <c r="G293" s="13">
        <v>105700</v>
      </c>
      <c r="H293" s="18">
        <f t="shared" si="4"/>
        <v>38460</v>
      </c>
      <c r="I293" s="14">
        <v>-0.266786903440622</v>
      </c>
      <c r="J293" s="16" t="s">
        <v>23</v>
      </c>
      <c r="O293" s="15" t="s">
        <v>13</v>
      </c>
      <c r="Q293" s="17" t="s">
        <v>161</v>
      </c>
      <c r="R293" s="13">
        <v>-15782</v>
      </c>
      <c r="S293" s="1"/>
    </row>
    <row r="294" spans="1:19" hidden="1" x14ac:dyDescent="0.25">
      <c r="A294" s="10" t="s">
        <v>299</v>
      </c>
      <c r="B294" s="11" t="s">
        <v>40</v>
      </c>
      <c r="C294" s="10" t="s">
        <v>42</v>
      </c>
      <c r="D294" s="10" t="s">
        <v>19</v>
      </c>
      <c r="E294" s="12">
        <v>113904</v>
      </c>
      <c r="F294" s="13">
        <v>144160</v>
      </c>
      <c r="G294" s="13">
        <v>121900</v>
      </c>
      <c r="H294" s="18">
        <f t="shared" si="4"/>
        <v>22260</v>
      </c>
      <c r="I294" s="14">
        <v>-0.154411764705882</v>
      </c>
      <c r="J294" s="16" t="s">
        <v>20</v>
      </c>
      <c r="O294" s="15" t="s">
        <v>13</v>
      </c>
      <c r="Q294" s="17" t="s">
        <v>300</v>
      </c>
      <c r="R294" s="13">
        <v>-1020</v>
      </c>
      <c r="S294" s="1"/>
    </row>
    <row r="295" spans="1:19" hidden="1" x14ac:dyDescent="0.25">
      <c r="A295" s="10" t="s">
        <v>301</v>
      </c>
      <c r="B295" s="11" t="s">
        <v>40</v>
      </c>
      <c r="C295" s="10" t="s">
        <v>42</v>
      </c>
      <c r="D295" s="10" t="s">
        <v>19</v>
      </c>
      <c r="E295" s="12">
        <v>107199</v>
      </c>
      <c r="F295" s="13">
        <v>144160</v>
      </c>
      <c r="G295" s="13">
        <v>121400</v>
      </c>
      <c r="H295" s="18">
        <f t="shared" si="4"/>
        <v>22760</v>
      </c>
      <c r="I295" s="14">
        <v>-0.15788013318534999</v>
      </c>
      <c r="J295" s="16" t="s">
        <v>20</v>
      </c>
      <c r="O295" s="15" t="s">
        <v>13</v>
      </c>
      <c r="Q295" s="17" t="s">
        <v>302</v>
      </c>
      <c r="R295" s="13">
        <v>-1575</v>
      </c>
      <c r="S295" s="1"/>
    </row>
    <row r="296" spans="1:19" hidden="1" x14ac:dyDescent="0.25">
      <c r="A296" s="10" t="s">
        <v>303</v>
      </c>
      <c r="B296" s="11" t="s">
        <v>40</v>
      </c>
      <c r="C296" s="10" t="s">
        <v>42</v>
      </c>
      <c r="D296" s="10" t="s">
        <v>19</v>
      </c>
      <c r="E296" s="12">
        <v>101879</v>
      </c>
      <c r="F296" s="13">
        <v>144160</v>
      </c>
      <c r="G296" s="13">
        <v>120200</v>
      </c>
      <c r="H296" s="18">
        <f t="shared" si="4"/>
        <v>23960</v>
      </c>
      <c r="I296" s="14">
        <v>-0.16620421753607101</v>
      </c>
      <c r="J296" s="16" t="s">
        <v>20</v>
      </c>
      <c r="O296" s="15" t="s">
        <v>13</v>
      </c>
      <c r="Q296" s="17" t="s">
        <v>304</v>
      </c>
      <c r="R296" s="13">
        <v>-4594</v>
      </c>
      <c r="S296" s="1"/>
    </row>
    <row r="297" spans="1:19" hidden="1" x14ac:dyDescent="0.25">
      <c r="A297" s="10" t="s">
        <v>305</v>
      </c>
      <c r="B297" s="11" t="s">
        <v>40</v>
      </c>
      <c r="C297" s="10" t="s">
        <v>42</v>
      </c>
      <c r="D297" s="10" t="s">
        <v>19</v>
      </c>
      <c r="E297" s="12">
        <v>48596</v>
      </c>
      <c r="F297" s="13">
        <v>144160</v>
      </c>
      <c r="G297" s="13">
        <v>116100</v>
      </c>
      <c r="H297" s="18">
        <f t="shared" si="4"/>
        <v>28060</v>
      </c>
      <c r="I297" s="14">
        <v>-0.194644839067703</v>
      </c>
      <c r="J297" s="16" t="s">
        <v>14</v>
      </c>
      <c r="O297" s="15" t="s">
        <v>13</v>
      </c>
      <c r="Q297" s="17" t="s">
        <v>306</v>
      </c>
      <c r="R297" s="13">
        <v>-9880</v>
      </c>
      <c r="S297" s="1"/>
    </row>
    <row r="298" spans="1:19" hidden="1" x14ac:dyDescent="0.25">
      <c r="A298" s="10" t="s">
        <v>307</v>
      </c>
      <c r="B298" s="11" t="s">
        <v>40</v>
      </c>
      <c r="C298" s="10" t="s">
        <v>42</v>
      </c>
      <c r="D298" s="10" t="s">
        <v>19</v>
      </c>
      <c r="E298" s="12">
        <v>128026</v>
      </c>
      <c r="F298" s="13">
        <v>144160</v>
      </c>
      <c r="G298" s="13">
        <v>115900</v>
      </c>
      <c r="H298" s="18">
        <f t="shared" si="4"/>
        <v>28260</v>
      </c>
      <c r="I298" s="14">
        <v>-0.19603218645949</v>
      </c>
      <c r="J298" s="16" t="s">
        <v>14</v>
      </c>
      <c r="O298" s="15" t="s">
        <v>13</v>
      </c>
      <c r="Q298" s="17" t="s">
        <v>308</v>
      </c>
      <c r="R298" s="13">
        <v>-2190</v>
      </c>
      <c r="S298" s="1"/>
    </row>
    <row r="299" spans="1:19" hidden="1" x14ac:dyDescent="0.25">
      <c r="A299" s="10" t="s">
        <v>309</v>
      </c>
      <c r="B299" s="11" t="s">
        <v>40</v>
      </c>
      <c r="C299" s="10" t="s">
        <v>42</v>
      </c>
      <c r="D299" s="10" t="s">
        <v>19</v>
      </c>
      <c r="E299" s="12">
        <v>39975</v>
      </c>
      <c r="F299" s="13">
        <v>144160</v>
      </c>
      <c r="G299" s="13">
        <v>113600</v>
      </c>
      <c r="H299" s="18">
        <f t="shared" si="4"/>
        <v>30560</v>
      </c>
      <c r="I299" s="14">
        <v>-0.21198668146503899</v>
      </c>
      <c r="J299" s="16" t="s">
        <v>21</v>
      </c>
      <c r="O299" s="15" t="s">
        <v>13</v>
      </c>
      <c r="Q299" s="17" t="s">
        <v>21</v>
      </c>
      <c r="R299" s="13">
        <v>-17521</v>
      </c>
      <c r="S299" s="1"/>
    </row>
    <row r="300" spans="1:19" hidden="1" x14ac:dyDescent="0.25">
      <c r="A300" s="10" t="s">
        <v>310</v>
      </c>
      <c r="B300" s="11" t="s">
        <v>40</v>
      </c>
      <c r="C300" s="10" t="s">
        <v>42</v>
      </c>
      <c r="D300" s="10" t="s">
        <v>19</v>
      </c>
      <c r="E300" s="12">
        <v>80153</v>
      </c>
      <c r="F300" s="13">
        <v>144160</v>
      </c>
      <c r="G300" s="13">
        <v>111700</v>
      </c>
      <c r="H300" s="18">
        <f t="shared" si="4"/>
        <v>32460</v>
      </c>
      <c r="I300" s="14">
        <v>-0.225166481687014</v>
      </c>
      <c r="J300" s="16" t="s">
        <v>14</v>
      </c>
      <c r="O300" s="15" t="s">
        <v>13</v>
      </c>
      <c r="Q300" s="17" t="s">
        <v>311</v>
      </c>
      <c r="R300" s="13">
        <v>-9996</v>
      </c>
      <c r="S300" s="1"/>
    </row>
    <row r="301" spans="1:19" hidden="1" x14ac:dyDescent="0.25">
      <c r="A301" s="10" t="s">
        <v>312</v>
      </c>
      <c r="B301" s="11" t="s">
        <v>40</v>
      </c>
      <c r="C301" s="10" t="s">
        <v>42</v>
      </c>
      <c r="D301" s="10" t="s">
        <v>19</v>
      </c>
      <c r="E301" s="12">
        <v>56293</v>
      </c>
      <c r="F301" s="13">
        <v>144160</v>
      </c>
      <c r="G301" s="13">
        <v>111500</v>
      </c>
      <c r="H301" s="18">
        <f t="shared" si="4"/>
        <v>32660</v>
      </c>
      <c r="I301" s="14">
        <v>-0.22655382907880101</v>
      </c>
      <c r="J301" s="16" t="s">
        <v>21</v>
      </c>
      <c r="O301" s="15" t="s">
        <v>13</v>
      </c>
      <c r="Q301" s="17" t="s">
        <v>21</v>
      </c>
      <c r="R301" s="13">
        <v>-16500</v>
      </c>
      <c r="S301" s="1"/>
    </row>
    <row r="302" spans="1:19" hidden="1" x14ac:dyDescent="0.25">
      <c r="A302" s="10" t="s">
        <v>313</v>
      </c>
      <c r="B302" s="11" t="s">
        <v>40</v>
      </c>
      <c r="C302" s="10" t="s">
        <v>42</v>
      </c>
      <c r="D302" s="10" t="s">
        <v>19</v>
      </c>
      <c r="E302" s="12">
        <v>109470</v>
      </c>
      <c r="F302" s="13">
        <v>144160</v>
      </c>
      <c r="G302" s="13">
        <v>111300</v>
      </c>
      <c r="H302" s="18">
        <f t="shared" si="4"/>
        <v>32860</v>
      </c>
      <c r="I302" s="14">
        <v>-0.22794117647058801</v>
      </c>
      <c r="J302" s="16" t="s">
        <v>20</v>
      </c>
      <c r="O302" s="15" t="s">
        <v>13</v>
      </c>
      <c r="Q302" s="17" t="s">
        <v>314</v>
      </c>
      <c r="R302" s="13">
        <v>-11694</v>
      </c>
      <c r="S302" s="1"/>
    </row>
    <row r="303" spans="1:19" hidden="1" x14ac:dyDescent="0.25">
      <c r="A303" s="10" t="s">
        <v>560</v>
      </c>
      <c r="B303" s="11" t="s">
        <v>40</v>
      </c>
      <c r="C303" s="10" t="s">
        <v>18</v>
      </c>
      <c r="D303" s="10" t="s">
        <v>19</v>
      </c>
      <c r="E303" s="12">
        <v>77793</v>
      </c>
      <c r="F303" s="13">
        <v>173946</v>
      </c>
      <c r="G303" s="13">
        <v>147900</v>
      </c>
      <c r="H303" s="18">
        <f t="shared" si="4"/>
        <v>26046</v>
      </c>
      <c r="I303" s="14">
        <v>-0.14973612500431199</v>
      </c>
      <c r="J303" s="16" t="s">
        <v>20</v>
      </c>
      <c r="O303" s="15" t="s">
        <v>13</v>
      </c>
      <c r="Q303" s="17" t="s">
        <v>561</v>
      </c>
      <c r="R303" s="13">
        <v>-2655</v>
      </c>
      <c r="S303" s="1"/>
    </row>
    <row r="304" spans="1:19" hidden="1" x14ac:dyDescent="0.25">
      <c r="A304" s="10" t="s">
        <v>562</v>
      </c>
      <c r="B304" s="11" t="s">
        <v>40</v>
      </c>
      <c r="C304" s="10" t="s">
        <v>35</v>
      </c>
      <c r="D304" s="10" t="s">
        <v>19</v>
      </c>
      <c r="E304" s="12">
        <v>66113</v>
      </c>
      <c r="F304" s="13">
        <v>173946</v>
      </c>
      <c r="G304" s="13">
        <v>136700</v>
      </c>
      <c r="H304" s="18">
        <f t="shared" si="4"/>
        <v>37246</v>
      </c>
      <c r="I304" s="14">
        <v>-0.21412392351649401</v>
      </c>
      <c r="J304" s="16" t="s">
        <v>20</v>
      </c>
      <c r="O304" s="15" t="s">
        <v>13</v>
      </c>
      <c r="Q304" s="17" t="s">
        <v>563</v>
      </c>
      <c r="R304" s="13">
        <v>-13157</v>
      </c>
      <c r="S304" s="1"/>
    </row>
    <row r="305" spans="1:19" hidden="1" x14ac:dyDescent="0.25">
      <c r="A305" s="10" t="s">
        <v>564</v>
      </c>
      <c r="B305" s="11" t="s">
        <v>40</v>
      </c>
      <c r="C305" s="10" t="s">
        <v>35</v>
      </c>
      <c r="D305" s="10" t="s">
        <v>19</v>
      </c>
      <c r="E305" s="12">
        <v>64297</v>
      </c>
      <c r="F305" s="13">
        <v>173946</v>
      </c>
      <c r="G305" s="13">
        <v>130000</v>
      </c>
      <c r="H305" s="18">
        <f t="shared" si="4"/>
        <v>43946</v>
      </c>
      <c r="I305" s="14">
        <v>-0.25264162441217403</v>
      </c>
      <c r="J305" s="16" t="s">
        <v>14</v>
      </c>
      <c r="O305" s="15" t="s">
        <v>13</v>
      </c>
      <c r="Q305" s="17" t="s">
        <v>565</v>
      </c>
      <c r="R305" s="13">
        <v>-15424</v>
      </c>
      <c r="S305" s="1"/>
    </row>
    <row r="306" spans="1:19" hidden="1" x14ac:dyDescent="0.25">
      <c r="A306" s="10" t="s">
        <v>672</v>
      </c>
      <c r="B306" s="11" t="s">
        <v>40</v>
      </c>
      <c r="C306" s="10" t="s">
        <v>42</v>
      </c>
      <c r="D306" s="10" t="s">
        <v>19</v>
      </c>
      <c r="E306" s="12">
        <v>76656</v>
      </c>
      <c r="F306" s="13">
        <v>144160</v>
      </c>
      <c r="G306" s="13">
        <v>129800</v>
      </c>
      <c r="H306" s="18">
        <f t="shared" si="4"/>
        <v>14360</v>
      </c>
      <c r="I306" s="14">
        <v>-9.9611542730299693E-2</v>
      </c>
      <c r="J306" s="16" t="s">
        <v>20</v>
      </c>
      <c r="O306" s="15" t="s">
        <v>653</v>
      </c>
      <c r="Q306" s="17" t="s">
        <v>673</v>
      </c>
      <c r="R306" s="13">
        <v>0</v>
      </c>
      <c r="S306" s="1"/>
    </row>
    <row r="307" spans="1:19" hidden="1" x14ac:dyDescent="0.25">
      <c r="A307" s="10" t="s">
        <v>82</v>
      </c>
      <c r="B307" s="11" t="s">
        <v>83</v>
      </c>
      <c r="C307" s="10" t="s">
        <v>81</v>
      </c>
      <c r="D307" s="10" t="s">
        <v>19</v>
      </c>
      <c r="E307" s="12">
        <v>73448</v>
      </c>
      <c r="F307" s="13">
        <v>122058</v>
      </c>
      <c r="G307" s="13">
        <v>92900</v>
      </c>
      <c r="H307" s="18">
        <f t="shared" si="4"/>
        <v>29158</v>
      </c>
      <c r="I307" s="14">
        <v>-0.23888643104098001</v>
      </c>
      <c r="J307" s="16" t="s">
        <v>14</v>
      </c>
      <c r="O307" s="15" t="s">
        <v>13</v>
      </c>
      <c r="Q307" s="17" t="s">
        <v>84</v>
      </c>
      <c r="R307" s="13">
        <v>-13215</v>
      </c>
      <c r="S307" s="1"/>
    </row>
    <row r="308" spans="1:19" hidden="1" x14ac:dyDescent="0.25">
      <c r="A308" s="10" t="s">
        <v>85</v>
      </c>
      <c r="B308" s="11" t="s">
        <v>83</v>
      </c>
      <c r="C308" s="10" t="s">
        <v>81</v>
      </c>
      <c r="D308" s="10" t="s">
        <v>19</v>
      </c>
      <c r="E308" s="12">
        <v>93289</v>
      </c>
      <c r="F308" s="13">
        <v>122058</v>
      </c>
      <c r="G308" s="13">
        <v>84700</v>
      </c>
      <c r="H308" s="18">
        <f t="shared" si="4"/>
        <v>37358</v>
      </c>
      <c r="I308" s="14">
        <v>-0.30606760720313297</v>
      </c>
      <c r="J308" s="16" t="s">
        <v>14</v>
      </c>
      <c r="O308" s="15" t="s">
        <v>13</v>
      </c>
      <c r="Q308" s="17" t="s">
        <v>86</v>
      </c>
      <c r="R308" s="13">
        <v>-20402</v>
      </c>
      <c r="S308" s="1"/>
    </row>
    <row r="309" spans="1:19" x14ac:dyDescent="0.25">
      <c r="A309" s="10" t="s">
        <v>97</v>
      </c>
      <c r="B309" s="11" t="s">
        <v>83</v>
      </c>
      <c r="C309" s="10" t="s">
        <v>98</v>
      </c>
      <c r="D309" s="10" t="s">
        <v>19</v>
      </c>
      <c r="E309" s="12">
        <v>69457</v>
      </c>
      <c r="F309" s="13">
        <v>125906</v>
      </c>
      <c r="G309" s="13">
        <v>114600</v>
      </c>
      <c r="H309" s="18">
        <f t="shared" si="4"/>
        <v>11306</v>
      </c>
      <c r="I309" s="14">
        <v>-8.9797150254951996E-2</v>
      </c>
      <c r="J309" s="16" t="s">
        <v>21</v>
      </c>
      <c r="O309" s="15"/>
      <c r="Q309" s="17"/>
      <c r="R309" s="13"/>
      <c r="S309" s="1"/>
    </row>
    <row r="310" spans="1:19" x14ac:dyDescent="0.25">
      <c r="A310" s="10" t="s">
        <v>101</v>
      </c>
      <c r="B310" s="11" t="s">
        <v>83</v>
      </c>
      <c r="C310" s="10" t="s">
        <v>98</v>
      </c>
      <c r="D310" s="10" t="s">
        <v>19</v>
      </c>
      <c r="E310" s="12">
        <v>64557</v>
      </c>
      <c r="F310" s="13">
        <v>125906</v>
      </c>
      <c r="G310" s="13">
        <v>114600</v>
      </c>
      <c r="H310" s="18">
        <f t="shared" si="4"/>
        <v>11306</v>
      </c>
      <c r="I310" s="14">
        <v>-8.9797150254951996E-2</v>
      </c>
      <c r="J310" s="16" t="s">
        <v>21</v>
      </c>
      <c r="O310" s="15"/>
      <c r="Q310" s="17"/>
      <c r="R310" s="13"/>
      <c r="S310" s="1"/>
    </row>
    <row r="311" spans="1:19" x14ac:dyDescent="0.25">
      <c r="A311" s="10" t="s">
        <v>102</v>
      </c>
      <c r="B311" s="11" t="s">
        <v>83</v>
      </c>
      <c r="C311" s="10" t="s">
        <v>103</v>
      </c>
      <c r="D311" s="10" t="s">
        <v>19</v>
      </c>
      <c r="E311" s="12">
        <v>106038</v>
      </c>
      <c r="F311" s="13">
        <v>125906</v>
      </c>
      <c r="G311" s="13">
        <v>112300</v>
      </c>
      <c r="H311" s="18">
        <f t="shared" si="4"/>
        <v>13606</v>
      </c>
      <c r="I311" s="14">
        <v>-0.108064746715804</v>
      </c>
      <c r="J311" s="16" t="s">
        <v>21</v>
      </c>
      <c r="O311" s="15"/>
      <c r="Q311" s="17"/>
      <c r="R311" s="13"/>
      <c r="S311" s="1"/>
    </row>
    <row r="312" spans="1:19" hidden="1" x14ac:dyDescent="0.25">
      <c r="A312" s="10" t="s">
        <v>581</v>
      </c>
      <c r="B312" s="11" t="s">
        <v>582</v>
      </c>
      <c r="C312" s="10" t="s">
        <v>45</v>
      </c>
      <c r="D312" s="10" t="s">
        <v>19</v>
      </c>
      <c r="E312" s="12">
        <v>100037</v>
      </c>
      <c r="F312" s="13">
        <v>215674</v>
      </c>
      <c r="G312" s="13">
        <v>171100</v>
      </c>
      <c r="H312" s="18">
        <f t="shared" si="4"/>
        <v>44574</v>
      </c>
      <c r="I312" s="14">
        <v>-0.20667303430177</v>
      </c>
      <c r="J312" s="16" t="s">
        <v>14</v>
      </c>
      <c r="O312" s="15" t="s">
        <v>13</v>
      </c>
      <c r="Q312" s="17" t="s">
        <v>583</v>
      </c>
      <c r="R312" s="13">
        <v>-8910</v>
      </c>
      <c r="S312" s="1"/>
    </row>
    <row r="313" spans="1:19" hidden="1" x14ac:dyDescent="0.25">
      <c r="A313" s="10" t="s">
        <v>659</v>
      </c>
      <c r="B313" s="11" t="s">
        <v>660</v>
      </c>
      <c r="C313" s="10" t="s">
        <v>45</v>
      </c>
      <c r="D313" s="10" t="s">
        <v>19</v>
      </c>
      <c r="E313" s="12">
        <v>46166</v>
      </c>
      <c r="F313" s="13">
        <v>203052</v>
      </c>
      <c r="G313" s="13">
        <v>182800</v>
      </c>
      <c r="H313" s="18">
        <f t="shared" si="4"/>
        <v>20252</v>
      </c>
      <c r="I313" s="14">
        <v>-9.9737998148257595E-2</v>
      </c>
      <c r="J313" s="16" t="s">
        <v>20</v>
      </c>
      <c r="O313" s="15" t="s">
        <v>653</v>
      </c>
      <c r="Q313" s="17" t="s">
        <v>661</v>
      </c>
      <c r="R313" s="13">
        <v>0</v>
      </c>
      <c r="S313" s="1"/>
    </row>
    <row r="314" spans="1:19" hidden="1" x14ac:dyDescent="0.25">
      <c r="A314" s="10" t="s">
        <v>344</v>
      </c>
      <c r="B314" s="11" t="s">
        <v>345</v>
      </c>
      <c r="C314" s="10" t="s">
        <v>285</v>
      </c>
      <c r="D314" s="10" t="s">
        <v>19</v>
      </c>
      <c r="E314" s="12">
        <v>93815</v>
      </c>
      <c r="F314" s="13">
        <v>67358</v>
      </c>
      <c r="G314" s="13">
        <v>54900</v>
      </c>
      <c r="H314" s="18">
        <f t="shared" si="4"/>
        <v>12458</v>
      </c>
      <c r="I314" s="14">
        <v>-0.18495204726981199</v>
      </c>
      <c r="J314" s="16" t="s">
        <v>20</v>
      </c>
      <c r="O314" s="15" t="s">
        <v>13</v>
      </c>
      <c r="Q314" s="17" t="s">
        <v>346</v>
      </c>
      <c r="R314" s="13">
        <v>-5340</v>
      </c>
      <c r="S314" s="1"/>
    </row>
    <row r="315" spans="1:19" hidden="1" x14ac:dyDescent="0.25">
      <c r="A315" s="10" t="s">
        <v>371</v>
      </c>
      <c r="B315" s="11" t="s">
        <v>345</v>
      </c>
      <c r="C315" s="10" t="s">
        <v>285</v>
      </c>
      <c r="D315" s="10" t="s">
        <v>19</v>
      </c>
      <c r="E315" s="12">
        <v>61547</v>
      </c>
      <c r="F315" s="13">
        <v>67358</v>
      </c>
      <c r="G315" s="13">
        <v>52500</v>
      </c>
      <c r="H315" s="18">
        <f t="shared" si="4"/>
        <v>14858</v>
      </c>
      <c r="I315" s="14">
        <v>-0.22058255886457401</v>
      </c>
      <c r="J315" s="16" t="s">
        <v>23</v>
      </c>
      <c r="O315" s="15" t="s">
        <v>13</v>
      </c>
      <c r="Q315" s="17" t="s">
        <v>372</v>
      </c>
      <c r="R315" s="13">
        <v>-3863</v>
      </c>
      <c r="S315" s="1"/>
    </row>
    <row r="316" spans="1:19" hidden="1" x14ac:dyDescent="0.25">
      <c r="A316" s="10" t="s">
        <v>383</v>
      </c>
      <c r="B316" s="11" t="s">
        <v>345</v>
      </c>
      <c r="C316" s="10" t="s">
        <v>285</v>
      </c>
      <c r="D316" s="10" t="s">
        <v>19</v>
      </c>
      <c r="E316" s="12">
        <v>217839</v>
      </c>
      <c r="F316" s="13">
        <v>67358</v>
      </c>
      <c r="G316" s="13">
        <v>50800</v>
      </c>
      <c r="H316" s="18">
        <f t="shared" si="4"/>
        <v>16558</v>
      </c>
      <c r="I316" s="14">
        <v>-0.24582083791086401</v>
      </c>
      <c r="J316" s="16" t="s">
        <v>14</v>
      </c>
      <c r="O316" s="15" t="s">
        <v>13</v>
      </c>
      <c r="Q316" s="17" t="s">
        <v>384</v>
      </c>
      <c r="R316" s="13">
        <v>-5550</v>
      </c>
      <c r="S316" s="1"/>
    </row>
    <row r="317" spans="1:19" hidden="1" x14ac:dyDescent="0.25">
      <c r="A317" s="10" t="s">
        <v>403</v>
      </c>
      <c r="B317" s="11" t="s">
        <v>345</v>
      </c>
      <c r="C317" s="10" t="s">
        <v>18</v>
      </c>
      <c r="D317" s="10" t="s">
        <v>19</v>
      </c>
      <c r="E317" s="12">
        <v>1</v>
      </c>
      <c r="F317" s="13">
        <v>76760</v>
      </c>
      <c r="G317" s="13">
        <v>62200</v>
      </c>
      <c r="H317" s="18">
        <f t="shared" si="4"/>
        <v>14560</v>
      </c>
      <c r="I317" s="14">
        <v>-0.189682126107348</v>
      </c>
      <c r="J317" s="16" t="s">
        <v>20</v>
      </c>
      <c r="O317" s="15" t="s">
        <v>13</v>
      </c>
      <c r="Q317" s="17" t="s">
        <v>404</v>
      </c>
      <c r="R317" s="13">
        <v>-7400</v>
      </c>
      <c r="S317" s="1"/>
    </row>
    <row r="318" spans="1:19" hidden="1" x14ac:dyDescent="0.25">
      <c r="A318" s="10" t="s">
        <v>423</v>
      </c>
      <c r="B318" s="11" t="s">
        <v>345</v>
      </c>
      <c r="C318" s="10" t="s">
        <v>18</v>
      </c>
      <c r="D318" s="10" t="s">
        <v>19</v>
      </c>
      <c r="E318" s="12">
        <v>81986</v>
      </c>
      <c r="F318" s="13">
        <v>76760</v>
      </c>
      <c r="G318" s="13">
        <v>68200</v>
      </c>
      <c r="H318" s="18">
        <f t="shared" si="4"/>
        <v>8560</v>
      </c>
      <c r="I318" s="14">
        <v>-0.111516414799375</v>
      </c>
      <c r="J318" s="16" t="s">
        <v>21</v>
      </c>
      <c r="O318" s="15" t="s">
        <v>13</v>
      </c>
      <c r="Q318" s="17" t="s">
        <v>21</v>
      </c>
      <c r="R318" s="13">
        <v>0</v>
      </c>
      <c r="S318" s="1"/>
    </row>
    <row r="319" spans="1:19" hidden="1" x14ac:dyDescent="0.25">
      <c r="A319" s="10" t="s">
        <v>424</v>
      </c>
      <c r="B319" s="11" t="s">
        <v>345</v>
      </c>
      <c r="C319" s="10" t="s">
        <v>18</v>
      </c>
      <c r="D319" s="10" t="s">
        <v>19</v>
      </c>
      <c r="E319" s="12">
        <v>80998</v>
      </c>
      <c r="F319" s="13">
        <v>76760</v>
      </c>
      <c r="G319" s="13">
        <v>67500</v>
      </c>
      <c r="H319" s="18">
        <f t="shared" si="4"/>
        <v>9260</v>
      </c>
      <c r="I319" s="14">
        <v>-0.120635747785305</v>
      </c>
      <c r="J319" s="16" t="s">
        <v>20</v>
      </c>
      <c r="O319" s="15" t="s">
        <v>13</v>
      </c>
      <c r="Q319" s="17" t="s">
        <v>425</v>
      </c>
      <c r="R319" s="13">
        <v>-750</v>
      </c>
      <c r="S319" s="1"/>
    </row>
    <row r="320" spans="1:19" hidden="1" x14ac:dyDescent="0.25">
      <c r="A320" s="10" t="s">
        <v>427</v>
      </c>
      <c r="B320" s="11" t="s">
        <v>345</v>
      </c>
      <c r="C320" s="10" t="s">
        <v>18</v>
      </c>
      <c r="D320" s="10" t="s">
        <v>19</v>
      </c>
      <c r="E320" s="12">
        <v>81036</v>
      </c>
      <c r="F320" s="13">
        <v>76760</v>
      </c>
      <c r="G320" s="13">
        <v>62600</v>
      </c>
      <c r="H320" s="18">
        <f t="shared" si="4"/>
        <v>14160</v>
      </c>
      <c r="I320" s="14">
        <v>-0.184471078686816</v>
      </c>
      <c r="J320" s="16" t="s">
        <v>20</v>
      </c>
      <c r="O320" s="15" t="s">
        <v>13</v>
      </c>
      <c r="Q320" s="17" t="s">
        <v>428</v>
      </c>
      <c r="R320" s="13">
        <v>-4650</v>
      </c>
      <c r="S320" s="1"/>
    </row>
    <row r="321" spans="1:19" x14ac:dyDescent="0.25">
      <c r="A321" s="10" t="s">
        <v>429</v>
      </c>
      <c r="B321" s="11" t="s">
        <v>345</v>
      </c>
      <c r="C321" s="10" t="s">
        <v>18</v>
      </c>
      <c r="D321" s="10" t="s">
        <v>19</v>
      </c>
      <c r="E321" s="12">
        <v>93832</v>
      </c>
      <c r="F321" s="13">
        <v>76760</v>
      </c>
      <c r="G321" s="13">
        <v>62300</v>
      </c>
      <c r="H321" s="18">
        <f t="shared" si="4"/>
        <v>14460</v>
      </c>
      <c r="I321" s="14">
        <v>-0.18837936425221499</v>
      </c>
      <c r="J321" s="16" t="s">
        <v>20</v>
      </c>
      <c r="O321" s="15"/>
      <c r="Q321" s="17"/>
      <c r="R321" s="13"/>
      <c r="S321" s="1"/>
    </row>
    <row r="322" spans="1:19" x14ac:dyDescent="0.25">
      <c r="A322" s="10" t="s">
        <v>430</v>
      </c>
      <c r="B322" s="11" t="s">
        <v>345</v>
      </c>
      <c r="C322" s="10" t="s">
        <v>18</v>
      </c>
      <c r="D322" s="10" t="s">
        <v>19</v>
      </c>
      <c r="E322" s="12">
        <v>142564</v>
      </c>
      <c r="F322" s="13">
        <v>76760</v>
      </c>
      <c r="G322" s="13">
        <v>61800</v>
      </c>
      <c r="H322" s="18">
        <f t="shared" ref="H322:H385" si="5">F322-G322</f>
        <v>14960</v>
      </c>
      <c r="I322" s="14">
        <v>-0.19489317352787899</v>
      </c>
      <c r="J322" s="16" t="s">
        <v>14</v>
      </c>
      <c r="O322" s="15"/>
      <c r="Q322" s="17"/>
      <c r="R322" s="13"/>
      <c r="S322" s="1"/>
    </row>
    <row r="323" spans="1:19" hidden="1" x14ac:dyDescent="0.25">
      <c r="A323" s="10" t="s">
        <v>431</v>
      </c>
      <c r="B323" s="11" t="s">
        <v>345</v>
      </c>
      <c r="C323" s="10" t="s">
        <v>18</v>
      </c>
      <c r="D323" s="10" t="s">
        <v>19</v>
      </c>
      <c r="E323" s="12">
        <v>70886</v>
      </c>
      <c r="F323" s="13">
        <v>76760</v>
      </c>
      <c r="G323" s="13">
        <v>61200</v>
      </c>
      <c r="H323" s="18">
        <f t="shared" si="5"/>
        <v>15560</v>
      </c>
      <c r="I323" s="14">
        <v>-0.202709744658676</v>
      </c>
      <c r="J323" s="16" t="s">
        <v>14</v>
      </c>
      <c r="O323" s="15" t="s">
        <v>13</v>
      </c>
      <c r="Q323" s="17" t="s">
        <v>432</v>
      </c>
      <c r="R323" s="13">
        <v>-5375</v>
      </c>
      <c r="S323" s="1"/>
    </row>
    <row r="324" spans="1:19" x14ac:dyDescent="0.25">
      <c r="A324" s="10" t="s">
        <v>433</v>
      </c>
      <c r="B324" s="11" t="s">
        <v>345</v>
      </c>
      <c r="C324" s="10" t="s">
        <v>18</v>
      </c>
      <c r="D324" s="10" t="s">
        <v>19</v>
      </c>
      <c r="E324" s="12">
        <v>148912</v>
      </c>
      <c r="F324" s="13">
        <v>76760</v>
      </c>
      <c r="G324" s="13">
        <v>60800</v>
      </c>
      <c r="H324" s="18">
        <f t="shared" si="5"/>
        <v>15960</v>
      </c>
      <c r="I324" s="14">
        <v>-0.20792079207920799</v>
      </c>
      <c r="J324" s="16" t="s">
        <v>20</v>
      </c>
      <c r="O324" s="15"/>
      <c r="Q324" s="17"/>
      <c r="R324" s="13"/>
      <c r="S324" s="1"/>
    </row>
    <row r="325" spans="1:19" x14ac:dyDescent="0.25">
      <c r="A325" s="10" t="s">
        <v>435</v>
      </c>
      <c r="B325" s="11" t="s">
        <v>345</v>
      </c>
      <c r="C325" s="10" t="s">
        <v>18</v>
      </c>
      <c r="D325" s="10" t="s">
        <v>19</v>
      </c>
      <c r="E325" s="12">
        <v>176810</v>
      </c>
      <c r="F325" s="13">
        <v>76760</v>
      </c>
      <c r="G325" s="13">
        <v>60500</v>
      </c>
      <c r="H325" s="18">
        <f t="shared" si="5"/>
        <v>16260</v>
      </c>
      <c r="I325" s="14">
        <v>-0.21182907764460701</v>
      </c>
      <c r="J325" s="16" t="s">
        <v>14</v>
      </c>
      <c r="O325" s="15"/>
      <c r="Q325" s="17"/>
      <c r="R325" s="13"/>
      <c r="S325" s="1"/>
    </row>
    <row r="326" spans="1:19" x14ac:dyDescent="0.25">
      <c r="A326" s="10" t="s">
        <v>438</v>
      </c>
      <c r="B326" s="11" t="s">
        <v>345</v>
      </c>
      <c r="C326" s="10" t="s">
        <v>18</v>
      </c>
      <c r="D326" s="10" t="s">
        <v>19</v>
      </c>
      <c r="E326" s="12">
        <v>163236</v>
      </c>
      <c r="F326" s="13">
        <v>76760</v>
      </c>
      <c r="G326" s="13">
        <v>60100</v>
      </c>
      <c r="H326" s="18">
        <f t="shared" si="5"/>
        <v>16660</v>
      </c>
      <c r="I326" s="14">
        <v>-0.21704012506513801</v>
      </c>
      <c r="J326" s="16" t="s">
        <v>14</v>
      </c>
      <c r="O326" s="15"/>
      <c r="Q326" s="17"/>
      <c r="R326" s="13"/>
      <c r="S326" s="1"/>
    </row>
    <row r="327" spans="1:19" x14ac:dyDescent="0.25">
      <c r="A327" s="10" t="s">
        <v>439</v>
      </c>
      <c r="B327" s="11" t="s">
        <v>345</v>
      </c>
      <c r="C327" s="10" t="s">
        <v>18</v>
      </c>
      <c r="D327" s="10" t="s">
        <v>19</v>
      </c>
      <c r="E327" s="12">
        <v>144931</v>
      </c>
      <c r="F327" s="13">
        <v>76760</v>
      </c>
      <c r="G327" s="13">
        <v>59500</v>
      </c>
      <c r="H327" s="18">
        <f t="shared" si="5"/>
        <v>17260</v>
      </c>
      <c r="I327" s="14">
        <v>-0.22485669619593501</v>
      </c>
      <c r="J327" s="16" t="s">
        <v>23</v>
      </c>
      <c r="O327" s="15"/>
      <c r="Q327" s="17"/>
      <c r="R327" s="13"/>
      <c r="S327" s="1"/>
    </row>
    <row r="328" spans="1:19" x14ac:dyDescent="0.25">
      <c r="A328" s="10" t="s">
        <v>441</v>
      </c>
      <c r="B328" s="11" t="s">
        <v>345</v>
      </c>
      <c r="C328" s="10" t="s">
        <v>18</v>
      </c>
      <c r="D328" s="10" t="s">
        <v>19</v>
      </c>
      <c r="E328" s="12">
        <v>154324</v>
      </c>
      <c r="F328" s="13">
        <v>76760</v>
      </c>
      <c r="G328" s="13">
        <v>58500</v>
      </c>
      <c r="H328" s="18">
        <f t="shared" si="5"/>
        <v>18260</v>
      </c>
      <c r="I328" s="14">
        <v>-0.23788431474726399</v>
      </c>
      <c r="J328" s="16" t="s">
        <v>23</v>
      </c>
      <c r="O328" s="15"/>
      <c r="Q328" s="17"/>
      <c r="R328" s="13"/>
      <c r="S328" s="1"/>
    </row>
    <row r="329" spans="1:19" x14ac:dyDescent="0.25">
      <c r="A329" s="10" t="s">
        <v>442</v>
      </c>
      <c r="B329" s="11" t="s">
        <v>345</v>
      </c>
      <c r="C329" s="10" t="s">
        <v>18</v>
      </c>
      <c r="D329" s="10" t="s">
        <v>19</v>
      </c>
      <c r="E329" s="12">
        <v>191272</v>
      </c>
      <c r="F329" s="13">
        <v>76760</v>
      </c>
      <c r="G329" s="13">
        <v>58100</v>
      </c>
      <c r="H329" s="18">
        <f t="shared" si="5"/>
        <v>18660</v>
      </c>
      <c r="I329" s="14">
        <v>-0.24309536216779601</v>
      </c>
      <c r="J329" s="16" t="s">
        <v>23</v>
      </c>
      <c r="O329" s="15"/>
      <c r="Q329" s="17"/>
      <c r="R329" s="13"/>
      <c r="S329" s="1"/>
    </row>
    <row r="330" spans="1:19" x14ac:dyDescent="0.25">
      <c r="A330" s="10" t="s">
        <v>443</v>
      </c>
      <c r="B330" s="11" t="s">
        <v>345</v>
      </c>
      <c r="C330" s="10" t="s">
        <v>18</v>
      </c>
      <c r="D330" s="10" t="s">
        <v>19</v>
      </c>
      <c r="E330" s="12">
        <v>91714</v>
      </c>
      <c r="F330" s="13">
        <v>76760</v>
      </c>
      <c r="G330" s="13">
        <v>58100</v>
      </c>
      <c r="H330" s="18">
        <f t="shared" si="5"/>
        <v>18660</v>
      </c>
      <c r="I330" s="14">
        <v>-0.24309536216779601</v>
      </c>
      <c r="J330" s="16" t="s">
        <v>23</v>
      </c>
      <c r="O330" s="15"/>
      <c r="Q330" s="17"/>
      <c r="R330" s="13"/>
      <c r="S330" s="1"/>
    </row>
    <row r="331" spans="1:19" x14ac:dyDescent="0.25">
      <c r="A331" s="10" t="s">
        <v>445</v>
      </c>
      <c r="B331" s="11" t="s">
        <v>345</v>
      </c>
      <c r="C331" s="10" t="s">
        <v>18</v>
      </c>
      <c r="D331" s="10" t="s">
        <v>19</v>
      </c>
      <c r="E331" s="12">
        <v>170439</v>
      </c>
      <c r="F331" s="13">
        <v>76760</v>
      </c>
      <c r="G331" s="13">
        <v>57600</v>
      </c>
      <c r="H331" s="18">
        <f t="shared" si="5"/>
        <v>19160</v>
      </c>
      <c r="I331" s="14">
        <v>-0.24960917144346001</v>
      </c>
      <c r="J331" s="16" t="s">
        <v>23</v>
      </c>
      <c r="O331" s="15"/>
      <c r="Q331" s="17"/>
      <c r="R331" s="13"/>
      <c r="S331" s="1"/>
    </row>
    <row r="332" spans="1:19" hidden="1" x14ac:dyDescent="0.25">
      <c r="A332" s="10" t="s">
        <v>447</v>
      </c>
      <c r="B332" s="11" t="s">
        <v>345</v>
      </c>
      <c r="C332" s="10" t="s">
        <v>18</v>
      </c>
      <c r="D332" s="10" t="s">
        <v>19</v>
      </c>
      <c r="E332" s="12">
        <v>97620</v>
      </c>
      <c r="F332" s="13">
        <v>76760</v>
      </c>
      <c r="G332" s="13">
        <v>57300</v>
      </c>
      <c r="H332" s="18">
        <f t="shared" si="5"/>
        <v>19460</v>
      </c>
      <c r="I332" s="14">
        <v>-0.25351745700885903</v>
      </c>
      <c r="J332" s="16" t="s">
        <v>20</v>
      </c>
      <c r="O332" s="15" t="s">
        <v>13</v>
      </c>
      <c r="Q332" s="17" t="s">
        <v>448</v>
      </c>
      <c r="R332" s="13">
        <v>-8927</v>
      </c>
      <c r="S332" s="1"/>
    </row>
    <row r="333" spans="1:19" x14ac:dyDescent="0.25">
      <c r="A333" s="10" t="s">
        <v>451</v>
      </c>
      <c r="B333" s="11" t="s">
        <v>345</v>
      </c>
      <c r="C333" s="10" t="s">
        <v>18</v>
      </c>
      <c r="D333" s="10" t="s">
        <v>19</v>
      </c>
      <c r="E333" s="12">
        <v>203929</v>
      </c>
      <c r="F333" s="13">
        <v>76760</v>
      </c>
      <c r="G333" s="13">
        <v>57000</v>
      </c>
      <c r="H333" s="18">
        <f t="shared" si="5"/>
        <v>19760</v>
      </c>
      <c r="I333" s="14">
        <v>-0.25742574257425699</v>
      </c>
      <c r="J333" s="16" t="s">
        <v>23</v>
      </c>
      <c r="O333" s="15"/>
      <c r="Q333" s="17"/>
      <c r="R333" s="13"/>
      <c r="S333" s="1"/>
    </row>
    <row r="334" spans="1:19" x14ac:dyDescent="0.25">
      <c r="A334" s="10" t="s">
        <v>499</v>
      </c>
      <c r="B334" s="11" t="s">
        <v>345</v>
      </c>
      <c r="C334" s="10" t="s">
        <v>35</v>
      </c>
      <c r="D334" s="10" t="s">
        <v>19</v>
      </c>
      <c r="E334" s="12">
        <v>116564</v>
      </c>
      <c r="F334" s="13">
        <v>76760</v>
      </c>
      <c r="G334" s="13">
        <v>54800</v>
      </c>
      <c r="H334" s="18">
        <f t="shared" si="5"/>
        <v>21960</v>
      </c>
      <c r="I334" s="14">
        <v>-0.286086503387181</v>
      </c>
      <c r="J334" s="16" t="s">
        <v>23</v>
      </c>
      <c r="O334" s="15"/>
      <c r="Q334" s="17"/>
      <c r="R334" s="13"/>
      <c r="S334" s="1"/>
    </row>
    <row r="335" spans="1:19" hidden="1" x14ac:dyDescent="0.25">
      <c r="A335" s="10" t="s">
        <v>506</v>
      </c>
      <c r="B335" s="11" t="s">
        <v>345</v>
      </c>
      <c r="C335" s="10" t="s">
        <v>35</v>
      </c>
      <c r="D335" s="10" t="s">
        <v>19</v>
      </c>
      <c r="E335" s="12">
        <v>91270</v>
      </c>
      <c r="F335" s="13">
        <v>76760</v>
      </c>
      <c r="G335" s="13">
        <v>63500</v>
      </c>
      <c r="H335" s="18">
        <f t="shared" si="5"/>
        <v>13260</v>
      </c>
      <c r="I335" s="14">
        <v>-0.17274622199062001</v>
      </c>
      <c r="J335" s="16" t="s">
        <v>20</v>
      </c>
      <c r="O335" s="15" t="s">
        <v>13</v>
      </c>
      <c r="Q335" s="17" t="s">
        <v>507</v>
      </c>
      <c r="R335" s="13">
        <v>-3750</v>
      </c>
      <c r="S335" s="1"/>
    </row>
    <row r="336" spans="1:19" hidden="1" x14ac:dyDescent="0.25">
      <c r="A336" s="10" t="s">
        <v>508</v>
      </c>
      <c r="B336" s="11" t="s">
        <v>345</v>
      </c>
      <c r="C336" s="10" t="s">
        <v>35</v>
      </c>
      <c r="D336" s="10" t="s">
        <v>19</v>
      </c>
      <c r="E336" s="12">
        <v>71990</v>
      </c>
      <c r="F336" s="13">
        <v>76760</v>
      </c>
      <c r="G336" s="13">
        <v>63300</v>
      </c>
      <c r="H336" s="18">
        <f t="shared" si="5"/>
        <v>13460</v>
      </c>
      <c r="I336" s="14">
        <v>-0.17535174570088599</v>
      </c>
      <c r="J336" s="16" t="s">
        <v>20</v>
      </c>
      <c r="O336" s="15" t="s">
        <v>13</v>
      </c>
      <c r="Q336" s="17" t="s">
        <v>509</v>
      </c>
      <c r="R336" s="13">
        <v>-4281</v>
      </c>
      <c r="S336" s="1"/>
    </row>
    <row r="337" spans="1:19" hidden="1" x14ac:dyDescent="0.25">
      <c r="A337" s="10" t="s">
        <v>510</v>
      </c>
      <c r="B337" s="11" t="s">
        <v>345</v>
      </c>
      <c r="C337" s="10" t="s">
        <v>35</v>
      </c>
      <c r="D337" s="10" t="s">
        <v>19</v>
      </c>
      <c r="E337" s="12">
        <v>88866</v>
      </c>
      <c r="F337" s="13">
        <v>76760</v>
      </c>
      <c r="G337" s="13">
        <v>62700</v>
      </c>
      <c r="H337" s="18">
        <f t="shared" si="5"/>
        <v>14060</v>
      </c>
      <c r="I337" s="14">
        <v>-0.183168316831683</v>
      </c>
      <c r="J337" s="16" t="s">
        <v>20</v>
      </c>
      <c r="O337" s="15" t="s">
        <v>13</v>
      </c>
      <c r="Q337" s="17" t="s">
        <v>511</v>
      </c>
      <c r="R337" s="13">
        <v>-4545</v>
      </c>
      <c r="S337" s="1"/>
    </row>
    <row r="338" spans="1:19" hidden="1" x14ac:dyDescent="0.25">
      <c r="A338" s="10" t="s">
        <v>512</v>
      </c>
      <c r="B338" s="11" t="s">
        <v>345</v>
      </c>
      <c r="C338" s="10" t="s">
        <v>35</v>
      </c>
      <c r="D338" s="10" t="s">
        <v>19</v>
      </c>
      <c r="E338" s="12">
        <v>290210</v>
      </c>
      <c r="F338" s="13">
        <v>76760</v>
      </c>
      <c r="G338" s="13">
        <v>59600</v>
      </c>
      <c r="H338" s="18">
        <f t="shared" si="5"/>
        <v>17160</v>
      </c>
      <c r="I338" s="14">
        <v>-0.22355393434080201</v>
      </c>
      <c r="J338" s="16" t="s">
        <v>20</v>
      </c>
      <c r="O338" s="15" t="s">
        <v>13</v>
      </c>
      <c r="Q338" s="17" t="s">
        <v>513</v>
      </c>
      <c r="R338" s="13">
        <v>-4660</v>
      </c>
      <c r="S338" s="1"/>
    </row>
    <row r="339" spans="1:19" hidden="1" x14ac:dyDescent="0.25">
      <c r="A339" s="10" t="s">
        <v>516</v>
      </c>
      <c r="B339" s="11" t="s">
        <v>345</v>
      </c>
      <c r="C339" s="10" t="s">
        <v>35</v>
      </c>
      <c r="D339" s="10" t="s">
        <v>19</v>
      </c>
      <c r="E339" s="12">
        <v>247446</v>
      </c>
      <c r="F339" s="13">
        <v>76760</v>
      </c>
      <c r="G339" s="13">
        <v>56400</v>
      </c>
      <c r="H339" s="18">
        <f t="shared" si="5"/>
        <v>20360</v>
      </c>
      <c r="I339" s="14">
        <v>-0.26524231370505502</v>
      </c>
      <c r="J339" s="16" t="s">
        <v>14</v>
      </c>
      <c r="O339" s="15" t="s">
        <v>13</v>
      </c>
      <c r="Q339" s="17" t="s">
        <v>517</v>
      </c>
      <c r="R339" s="13">
        <v>-6840</v>
      </c>
      <c r="S339" s="1"/>
    </row>
    <row r="340" spans="1:19" hidden="1" x14ac:dyDescent="0.25">
      <c r="A340" s="10" t="s">
        <v>528</v>
      </c>
      <c r="B340" s="11" t="s">
        <v>345</v>
      </c>
      <c r="C340" s="10" t="s">
        <v>35</v>
      </c>
      <c r="D340" s="10" t="s">
        <v>19</v>
      </c>
      <c r="E340" s="12">
        <v>94366</v>
      </c>
      <c r="F340" s="13">
        <v>76760</v>
      </c>
      <c r="G340" s="13">
        <v>67200</v>
      </c>
      <c r="H340" s="18">
        <f t="shared" si="5"/>
        <v>9560</v>
      </c>
      <c r="I340" s="14">
        <v>-0.12454403335070401</v>
      </c>
      <c r="J340" s="16" t="s">
        <v>21</v>
      </c>
      <c r="O340" s="15" t="s">
        <v>13</v>
      </c>
      <c r="Q340" s="17" t="s">
        <v>21</v>
      </c>
      <c r="R340" s="13">
        <v>0</v>
      </c>
      <c r="S340" s="1"/>
    </row>
    <row r="341" spans="1:19" hidden="1" x14ac:dyDescent="0.25">
      <c r="A341" s="10" t="s">
        <v>529</v>
      </c>
      <c r="B341" s="11" t="s">
        <v>345</v>
      </c>
      <c r="C341" s="10" t="s">
        <v>35</v>
      </c>
      <c r="D341" s="10" t="s">
        <v>19</v>
      </c>
      <c r="E341" s="12">
        <v>48054</v>
      </c>
      <c r="F341" s="13">
        <v>76760</v>
      </c>
      <c r="G341" s="13">
        <v>66700</v>
      </c>
      <c r="H341" s="18">
        <f t="shared" si="5"/>
        <v>10060</v>
      </c>
      <c r="I341" s="14">
        <v>-0.13105784262636799</v>
      </c>
      <c r="J341" s="16" t="s">
        <v>20</v>
      </c>
      <c r="O341" s="15" t="s">
        <v>13</v>
      </c>
      <c r="Q341" s="17" t="s">
        <v>530</v>
      </c>
      <c r="R341" s="13">
        <v>-3585</v>
      </c>
      <c r="S341" s="1"/>
    </row>
    <row r="342" spans="1:19" x14ac:dyDescent="0.25">
      <c r="A342" s="10" t="s">
        <v>531</v>
      </c>
      <c r="B342" s="11" t="s">
        <v>345</v>
      </c>
      <c r="C342" s="10" t="s">
        <v>35</v>
      </c>
      <c r="D342" s="10" t="s">
        <v>19</v>
      </c>
      <c r="E342" s="12">
        <v>115770</v>
      </c>
      <c r="F342" s="13">
        <v>76760</v>
      </c>
      <c r="G342" s="13">
        <v>64200</v>
      </c>
      <c r="H342" s="18">
        <f t="shared" si="5"/>
        <v>12560</v>
      </c>
      <c r="I342" s="14">
        <v>-0.16362688900469</v>
      </c>
      <c r="J342" s="16" t="s">
        <v>20</v>
      </c>
      <c r="O342" s="15"/>
      <c r="Q342" s="17"/>
      <c r="R342" s="13"/>
      <c r="S342" s="1"/>
    </row>
    <row r="343" spans="1:19" hidden="1" x14ac:dyDescent="0.25">
      <c r="A343" s="10" t="s">
        <v>538</v>
      </c>
      <c r="B343" s="11" t="s">
        <v>345</v>
      </c>
      <c r="C343" s="10" t="s">
        <v>35</v>
      </c>
      <c r="D343" s="10" t="s">
        <v>19</v>
      </c>
      <c r="E343" s="12">
        <v>84254</v>
      </c>
      <c r="F343" s="13">
        <v>76760</v>
      </c>
      <c r="G343" s="13">
        <v>61200</v>
      </c>
      <c r="H343" s="18">
        <f t="shared" si="5"/>
        <v>15560</v>
      </c>
      <c r="I343" s="14">
        <v>-0.202709744658676</v>
      </c>
      <c r="J343" s="16" t="s">
        <v>20</v>
      </c>
      <c r="O343" s="15" t="s">
        <v>13</v>
      </c>
      <c r="Q343" s="17" t="s">
        <v>539</v>
      </c>
      <c r="R343" s="13">
        <v>-6030</v>
      </c>
      <c r="S343" s="1"/>
    </row>
    <row r="344" spans="1:19" hidden="1" x14ac:dyDescent="0.25">
      <c r="A344" s="10" t="s">
        <v>624</v>
      </c>
      <c r="B344" s="11" t="s">
        <v>345</v>
      </c>
      <c r="C344" s="10" t="s">
        <v>45</v>
      </c>
      <c r="D344" s="10" t="s">
        <v>19</v>
      </c>
      <c r="E344" s="12">
        <v>55320</v>
      </c>
      <c r="F344" s="13">
        <v>85254</v>
      </c>
      <c r="G344" s="13">
        <v>71100</v>
      </c>
      <c r="H344" s="18">
        <f t="shared" si="5"/>
        <v>14154</v>
      </c>
      <c r="I344" s="14">
        <v>-0.166021535646421</v>
      </c>
      <c r="J344" s="16" t="s">
        <v>20</v>
      </c>
      <c r="O344" s="15" t="s">
        <v>13</v>
      </c>
      <c r="Q344" s="17" t="s">
        <v>625</v>
      </c>
      <c r="R344" s="13">
        <v>-5149</v>
      </c>
      <c r="S344" s="1"/>
    </row>
    <row r="345" spans="1:19" hidden="1" x14ac:dyDescent="0.25">
      <c r="A345" s="10" t="s">
        <v>644</v>
      </c>
      <c r="B345" s="11" t="s">
        <v>345</v>
      </c>
      <c r="C345" s="10" t="s">
        <v>45</v>
      </c>
      <c r="D345" s="10" t="s">
        <v>19</v>
      </c>
      <c r="E345" s="12">
        <v>34108</v>
      </c>
      <c r="F345" s="13">
        <v>85254</v>
      </c>
      <c r="G345" s="13">
        <v>67700</v>
      </c>
      <c r="H345" s="18">
        <f t="shared" si="5"/>
        <v>17554</v>
      </c>
      <c r="I345" s="14">
        <v>-0.20590236235250001</v>
      </c>
      <c r="J345" s="16" t="s">
        <v>23</v>
      </c>
      <c r="O345" s="15" t="s">
        <v>13</v>
      </c>
      <c r="Q345" s="17" t="s">
        <v>645</v>
      </c>
      <c r="R345" s="13">
        <v>-4650</v>
      </c>
      <c r="S345" s="1"/>
    </row>
    <row r="346" spans="1:19" hidden="1" x14ac:dyDescent="0.25">
      <c r="A346" s="10" t="s">
        <v>657</v>
      </c>
      <c r="B346" s="11" t="s">
        <v>345</v>
      </c>
      <c r="C346" s="10" t="s">
        <v>45</v>
      </c>
      <c r="D346" s="10" t="s">
        <v>19</v>
      </c>
      <c r="E346" s="12">
        <v>45019</v>
      </c>
      <c r="F346" s="13">
        <v>85254</v>
      </c>
      <c r="G346" s="13">
        <v>76800</v>
      </c>
      <c r="H346" s="18">
        <f t="shared" si="5"/>
        <v>8454</v>
      </c>
      <c r="I346" s="14">
        <v>-9.9162502639172395E-2</v>
      </c>
      <c r="J346" s="16" t="s">
        <v>20</v>
      </c>
      <c r="O346" s="15" t="s">
        <v>653</v>
      </c>
      <c r="Q346" s="17" t="s">
        <v>658</v>
      </c>
      <c r="R346" s="13">
        <v>0</v>
      </c>
      <c r="S346" s="1"/>
    </row>
    <row r="347" spans="1:19" hidden="1" x14ac:dyDescent="0.25">
      <c r="A347" s="10" t="s">
        <v>690</v>
      </c>
      <c r="B347" s="11" t="s">
        <v>345</v>
      </c>
      <c r="C347" s="10" t="s">
        <v>45</v>
      </c>
      <c r="D347" s="10" t="s">
        <v>19</v>
      </c>
      <c r="E347" s="12">
        <v>29392</v>
      </c>
      <c r="F347" s="13">
        <v>85254</v>
      </c>
      <c r="G347" s="13">
        <v>76800</v>
      </c>
      <c r="H347" s="18">
        <f t="shared" si="5"/>
        <v>8454</v>
      </c>
      <c r="I347" s="14">
        <v>-9.9162502639172395E-2</v>
      </c>
      <c r="J347" s="16" t="s">
        <v>20</v>
      </c>
      <c r="O347" s="15" t="s">
        <v>653</v>
      </c>
      <c r="Q347" s="17" t="s">
        <v>691</v>
      </c>
      <c r="R347" s="13">
        <v>0</v>
      </c>
      <c r="S347" s="1"/>
    </row>
    <row r="348" spans="1:19" hidden="1" x14ac:dyDescent="0.25">
      <c r="A348" s="10" t="s">
        <v>707</v>
      </c>
      <c r="B348" s="11" t="s">
        <v>345</v>
      </c>
      <c r="C348" s="10" t="s">
        <v>45</v>
      </c>
      <c r="D348" s="10" t="s">
        <v>19</v>
      </c>
      <c r="E348" s="12">
        <v>20384</v>
      </c>
      <c r="F348" s="13">
        <v>85254</v>
      </c>
      <c r="G348" s="13">
        <v>76800</v>
      </c>
      <c r="H348" s="18">
        <f t="shared" si="5"/>
        <v>8454</v>
      </c>
      <c r="I348" s="14">
        <v>-9.9162502639172395E-2</v>
      </c>
      <c r="J348" s="16" t="s">
        <v>14</v>
      </c>
      <c r="O348" s="15" t="s">
        <v>653</v>
      </c>
      <c r="Q348" s="17" t="s">
        <v>708</v>
      </c>
      <c r="R348" s="13">
        <v>0</v>
      </c>
      <c r="S348" s="1"/>
    </row>
    <row r="349" spans="1:19" hidden="1" x14ac:dyDescent="0.25">
      <c r="A349" s="10" t="s">
        <v>717</v>
      </c>
      <c r="B349" s="11" t="s">
        <v>345</v>
      </c>
      <c r="C349" s="10" t="s">
        <v>35</v>
      </c>
      <c r="D349" s="10" t="s">
        <v>19</v>
      </c>
      <c r="E349" s="12">
        <v>42831</v>
      </c>
      <c r="F349" s="13">
        <v>76760</v>
      </c>
      <c r="G349" s="13">
        <v>69100</v>
      </c>
      <c r="H349" s="18">
        <f t="shared" si="5"/>
        <v>7660</v>
      </c>
      <c r="I349" s="14">
        <v>-9.9791558103178801E-2</v>
      </c>
      <c r="J349" s="16" t="s">
        <v>20</v>
      </c>
      <c r="O349" s="15" t="s">
        <v>653</v>
      </c>
      <c r="Q349" s="17" t="s">
        <v>718</v>
      </c>
      <c r="R349" s="13">
        <v>0</v>
      </c>
      <c r="S349" s="1"/>
    </row>
    <row r="350" spans="1:19" hidden="1" x14ac:dyDescent="0.25">
      <c r="A350" s="10" t="s">
        <v>735</v>
      </c>
      <c r="B350" s="11" t="s">
        <v>345</v>
      </c>
      <c r="C350" s="10" t="s">
        <v>45</v>
      </c>
      <c r="D350" s="10" t="s">
        <v>19</v>
      </c>
      <c r="E350" s="12">
        <v>33641</v>
      </c>
      <c r="F350" s="13">
        <v>85254</v>
      </c>
      <c r="G350" s="13">
        <v>76800</v>
      </c>
      <c r="H350" s="18">
        <f t="shared" si="5"/>
        <v>8454</v>
      </c>
      <c r="I350" s="14">
        <v>-9.9162502639172395E-2</v>
      </c>
      <c r="J350" s="16" t="s">
        <v>14</v>
      </c>
      <c r="O350" s="15" t="s">
        <v>653</v>
      </c>
      <c r="Q350" s="17" t="s">
        <v>736</v>
      </c>
      <c r="R350" s="13">
        <v>0</v>
      </c>
      <c r="S350" s="1"/>
    </row>
    <row r="351" spans="1:19" hidden="1" x14ac:dyDescent="0.25">
      <c r="A351" s="10" t="s">
        <v>378</v>
      </c>
      <c r="B351" s="11" t="s">
        <v>379</v>
      </c>
      <c r="C351" s="10" t="s">
        <v>285</v>
      </c>
      <c r="D351" s="10" t="s">
        <v>19</v>
      </c>
      <c r="E351" s="12">
        <v>130000</v>
      </c>
      <c r="F351" s="13">
        <v>66358</v>
      </c>
      <c r="G351" s="13">
        <v>57500</v>
      </c>
      <c r="H351" s="18">
        <f t="shared" si="5"/>
        <v>8858</v>
      </c>
      <c r="I351" s="14">
        <v>-0.14635232637548601</v>
      </c>
      <c r="J351" s="16" t="s">
        <v>21</v>
      </c>
      <c r="O351" s="15" t="s">
        <v>13</v>
      </c>
      <c r="Q351" s="17" t="s">
        <v>21</v>
      </c>
      <c r="R351" s="13">
        <v>0</v>
      </c>
      <c r="S351" s="1"/>
    </row>
    <row r="352" spans="1:19" hidden="1" x14ac:dyDescent="0.25">
      <c r="A352" s="10" t="s">
        <v>534</v>
      </c>
      <c r="B352" s="11" t="s">
        <v>379</v>
      </c>
      <c r="C352" s="10" t="s">
        <v>35</v>
      </c>
      <c r="D352" s="10" t="s">
        <v>19</v>
      </c>
      <c r="E352" s="12">
        <v>19392</v>
      </c>
      <c r="F352" s="13">
        <v>75760</v>
      </c>
      <c r="G352" s="13">
        <v>62100</v>
      </c>
      <c r="H352" s="18">
        <f t="shared" si="5"/>
        <v>13660</v>
      </c>
      <c r="I352" s="14">
        <v>-0.19098488796248</v>
      </c>
      <c r="J352" s="16" t="s">
        <v>20</v>
      </c>
      <c r="O352" s="15" t="s">
        <v>13</v>
      </c>
      <c r="Q352" s="17" t="s">
        <v>535</v>
      </c>
      <c r="R352" s="13">
        <v>-7755</v>
      </c>
      <c r="S352" s="1"/>
    </row>
    <row r="353" spans="1:19" x14ac:dyDescent="0.25">
      <c r="A353" s="10" t="s">
        <v>504</v>
      </c>
      <c r="B353" s="11" t="s">
        <v>505</v>
      </c>
      <c r="C353" s="10" t="s">
        <v>18</v>
      </c>
      <c r="D353" s="10" t="s">
        <v>19</v>
      </c>
      <c r="E353" s="12">
        <v>107060</v>
      </c>
      <c r="F353" s="13">
        <v>77083</v>
      </c>
      <c r="G353" s="13">
        <v>67800</v>
      </c>
      <c r="H353" s="18">
        <f t="shared" si="5"/>
        <v>9283</v>
      </c>
      <c r="I353" s="14">
        <v>-0.120428628880557</v>
      </c>
      <c r="J353" s="16" t="s">
        <v>21</v>
      </c>
      <c r="O353" s="15"/>
      <c r="Q353" s="17"/>
      <c r="R353" s="13"/>
      <c r="S353" s="1"/>
    </row>
    <row r="354" spans="1:19" x14ac:dyDescent="0.25">
      <c r="A354" s="10" t="s">
        <v>359</v>
      </c>
      <c r="B354" s="11" t="s">
        <v>360</v>
      </c>
      <c r="C354" s="10" t="s">
        <v>18</v>
      </c>
      <c r="D354" s="10" t="s">
        <v>19</v>
      </c>
      <c r="E354" s="12">
        <v>224476</v>
      </c>
      <c r="F354" s="13">
        <v>99891</v>
      </c>
      <c r="G354" s="13">
        <v>74600</v>
      </c>
      <c r="H354" s="18">
        <f t="shared" si="5"/>
        <v>25291</v>
      </c>
      <c r="I354" s="14">
        <v>-0.253185972710254</v>
      </c>
      <c r="J354" s="16" t="s">
        <v>14</v>
      </c>
      <c r="O354" s="15"/>
      <c r="Q354" s="17"/>
      <c r="R354" s="13"/>
      <c r="S354" s="1"/>
    </row>
    <row r="355" spans="1:19" hidden="1" x14ac:dyDescent="0.25">
      <c r="A355" s="10" t="s">
        <v>366</v>
      </c>
      <c r="B355" s="11" t="s">
        <v>360</v>
      </c>
      <c r="C355" s="10" t="s">
        <v>18</v>
      </c>
      <c r="D355" s="10" t="s">
        <v>19</v>
      </c>
      <c r="E355" s="12">
        <v>182916</v>
      </c>
      <c r="F355" s="13">
        <v>99891</v>
      </c>
      <c r="G355" s="13">
        <v>77100</v>
      </c>
      <c r="H355" s="18">
        <f t="shared" si="5"/>
        <v>22791</v>
      </c>
      <c r="I355" s="14">
        <v>-0.228158692975343</v>
      </c>
      <c r="J355" s="16" t="s">
        <v>14</v>
      </c>
      <c r="O355" s="15" t="s">
        <v>13</v>
      </c>
      <c r="Q355" s="17" t="s">
        <v>367</v>
      </c>
      <c r="R355" s="13">
        <v>-3053</v>
      </c>
      <c r="S355" s="1"/>
    </row>
    <row r="356" spans="1:19" x14ac:dyDescent="0.25">
      <c r="A356" s="10" t="s">
        <v>368</v>
      </c>
      <c r="B356" s="11" t="s">
        <v>360</v>
      </c>
      <c r="C356" s="10" t="s">
        <v>18</v>
      </c>
      <c r="D356" s="10" t="s">
        <v>19</v>
      </c>
      <c r="E356" s="12">
        <v>163827</v>
      </c>
      <c r="F356" s="13">
        <v>99891</v>
      </c>
      <c r="G356" s="13">
        <v>75100</v>
      </c>
      <c r="H356" s="18">
        <f t="shared" si="5"/>
        <v>24791</v>
      </c>
      <c r="I356" s="14">
        <v>-0.24818051676327199</v>
      </c>
      <c r="J356" s="16" t="s">
        <v>14</v>
      </c>
      <c r="O356" s="15"/>
      <c r="Q356" s="17"/>
      <c r="R356" s="13"/>
      <c r="S356" s="1"/>
    </row>
    <row r="357" spans="1:19" x14ac:dyDescent="0.25">
      <c r="A357" s="10" t="s">
        <v>369</v>
      </c>
      <c r="B357" s="11" t="s">
        <v>360</v>
      </c>
      <c r="C357" s="10" t="s">
        <v>18</v>
      </c>
      <c r="D357" s="10" t="s">
        <v>19</v>
      </c>
      <c r="E357" s="12">
        <v>225758</v>
      </c>
      <c r="F357" s="13">
        <v>99891</v>
      </c>
      <c r="G357" s="13">
        <v>75000</v>
      </c>
      <c r="H357" s="18">
        <f t="shared" si="5"/>
        <v>24891</v>
      </c>
      <c r="I357" s="14">
        <v>-0.249181607952668</v>
      </c>
      <c r="J357" s="16" t="s">
        <v>14</v>
      </c>
      <c r="O357" s="15"/>
      <c r="Q357" s="17"/>
      <c r="R357" s="13"/>
      <c r="S357" s="1"/>
    </row>
    <row r="358" spans="1:19" x14ac:dyDescent="0.25">
      <c r="A358" s="10" t="s">
        <v>370</v>
      </c>
      <c r="B358" s="11" t="s">
        <v>360</v>
      </c>
      <c r="C358" s="10" t="s">
        <v>18</v>
      </c>
      <c r="D358" s="10" t="s">
        <v>19</v>
      </c>
      <c r="E358" s="12">
        <v>230649</v>
      </c>
      <c r="F358" s="13">
        <v>99891</v>
      </c>
      <c r="G358" s="13">
        <v>73700</v>
      </c>
      <c r="H358" s="18">
        <f t="shared" si="5"/>
        <v>26191</v>
      </c>
      <c r="I358" s="14">
        <v>-0.26219579341482202</v>
      </c>
      <c r="J358" s="16" t="s">
        <v>20</v>
      </c>
      <c r="O358" s="15"/>
      <c r="Q358" s="17"/>
      <c r="R358" s="13"/>
      <c r="S358" s="1"/>
    </row>
    <row r="359" spans="1:19" x14ac:dyDescent="0.25">
      <c r="A359" s="10" t="s">
        <v>592</v>
      </c>
      <c r="B359" s="11" t="s">
        <v>360</v>
      </c>
      <c r="C359" s="10" t="s">
        <v>45</v>
      </c>
      <c r="D359" s="10" t="s">
        <v>19</v>
      </c>
      <c r="E359" s="12">
        <v>206285</v>
      </c>
      <c r="F359" s="13">
        <v>126158</v>
      </c>
      <c r="G359" s="13">
        <v>99400</v>
      </c>
      <c r="H359" s="18">
        <f t="shared" si="5"/>
        <v>26758</v>
      </c>
      <c r="I359" s="14">
        <v>-0.21209911380966701</v>
      </c>
      <c r="J359" s="16" t="s">
        <v>20</v>
      </c>
      <c r="O359" s="15"/>
      <c r="Q359" s="17"/>
      <c r="R359" s="13"/>
      <c r="S359" s="1"/>
    </row>
    <row r="360" spans="1:19" x14ac:dyDescent="0.25">
      <c r="A360" s="10" t="s">
        <v>593</v>
      </c>
      <c r="B360" s="11" t="s">
        <v>360</v>
      </c>
      <c r="C360" s="10" t="s">
        <v>45</v>
      </c>
      <c r="D360" s="10" t="s">
        <v>19</v>
      </c>
      <c r="E360" s="12">
        <v>110010</v>
      </c>
      <c r="F360" s="13">
        <v>126158</v>
      </c>
      <c r="G360" s="13">
        <v>97400</v>
      </c>
      <c r="H360" s="18">
        <f t="shared" si="5"/>
        <v>28758</v>
      </c>
      <c r="I360" s="14">
        <v>-0.22795225035273201</v>
      </c>
      <c r="J360" s="16" t="s">
        <v>14</v>
      </c>
      <c r="O360" s="15"/>
      <c r="Q360" s="17"/>
      <c r="R360" s="13"/>
      <c r="S360" s="1"/>
    </row>
    <row r="361" spans="1:19" hidden="1" x14ac:dyDescent="0.25">
      <c r="A361" s="10" t="s">
        <v>400</v>
      </c>
      <c r="B361" s="11" t="s">
        <v>401</v>
      </c>
      <c r="C361" s="10" t="s">
        <v>18</v>
      </c>
      <c r="D361" s="10" t="s">
        <v>19</v>
      </c>
      <c r="E361" s="12">
        <v>43484</v>
      </c>
      <c r="F361" s="13">
        <v>78658</v>
      </c>
      <c r="G361" s="13">
        <v>63300</v>
      </c>
      <c r="H361" s="18">
        <f t="shared" si="5"/>
        <v>15358</v>
      </c>
      <c r="I361" s="14">
        <v>-0.195250324188258</v>
      </c>
      <c r="J361" s="16" t="s">
        <v>14</v>
      </c>
      <c r="O361" s="15" t="s">
        <v>13</v>
      </c>
      <c r="Q361" s="17" t="s">
        <v>402</v>
      </c>
      <c r="R361" s="13">
        <v>-6291</v>
      </c>
      <c r="S361" s="1"/>
    </row>
    <row r="362" spans="1:19" hidden="1" x14ac:dyDescent="0.25">
      <c r="A362" s="10" t="s">
        <v>405</v>
      </c>
      <c r="B362" s="11" t="s">
        <v>401</v>
      </c>
      <c r="C362" s="10" t="s">
        <v>18</v>
      </c>
      <c r="D362" s="10" t="s">
        <v>19</v>
      </c>
      <c r="E362" s="12">
        <v>103193</v>
      </c>
      <c r="F362" s="13">
        <v>78658</v>
      </c>
      <c r="G362" s="13">
        <v>55200</v>
      </c>
      <c r="H362" s="18">
        <f t="shared" si="5"/>
        <v>23458</v>
      </c>
      <c r="I362" s="14">
        <v>-0.29822777085611102</v>
      </c>
      <c r="J362" s="16" t="s">
        <v>23</v>
      </c>
      <c r="O362" s="15" t="s">
        <v>13</v>
      </c>
      <c r="Q362" s="17" t="s">
        <v>406</v>
      </c>
      <c r="R362" s="13">
        <v>-9810</v>
      </c>
      <c r="S362" s="1"/>
    </row>
    <row r="363" spans="1:19" x14ac:dyDescent="0.25">
      <c r="A363" s="10" t="s">
        <v>421</v>
      </c>
      <c r="B363" s="11" t="s">
        <v>401</v>
      </c>
      <c r="C363" s="10" t="s">
        <v>18</v>
      </c>
      <c r="D363" s="10" t="s">
        <v>19</v>
      </c>
      <c r="E363" s="12">
        <v>121520</v>
      </c>
      <c r="F363" s="13">
        <v>78658</v>
      </c>
      <c r="G363" s="13">
        <v>68400</v>
      </c>
      <c r="H363" s="18">
        <f t="shared" si="5"/>
        <v>10258</v>
      </c>
      <c r="I363" s="14">
        <v>-0.130412672582573</v>
      </c>
      <c r="J363" s="16" t="s">
        <v>20</v>
      </c>
      <c r="O363" s="15"/>
      <c r="Q363" s="17"/>
      <c r="R363" s="13"/>
      <c r="S363" s="1"/>
    </row>
    <row r="364" spans="1:19" hidden="1" x14ac:dyDescent="0.25">
      <c r="A364" s="10" t="s">
        <v>496</v>
      </c>
      <c r="B364" s="11" t="s">
        <v>401</v>
      </c>
      <c r="C364" s="10" t="s">
        <v>18</v>
      </c>
      <c r="D364" s="10" t="s">
        <v>19</v>
      </c>
      <c r="E364" s="12">
        <v>128051</v>
      </c>
      <c r="F364" s="13">
        <v>78658</v>
      </c>
      <c r="G364" s="13">
        <v>68500</v>
      </c>
      <c r="H364" s="18">
        <f t="shared" si="5"/>
        <v>10158</v>
      </c>
      <c r="I364" s="14">
        <v>-0.12914134608050001</v>
      </c>
      <c r="J364" s="16" t="s">
        <v>21</v>
      </c>
      <c r="O364" s="15" t="s">
        <v>13</v>
      </c>
      <c r="Q364" s="17" t="s">
        <v>21</v>
      </c>
      <c r="R364" s="13">
        <v>0</v>
      </c>
      <c r="S364" s="1"/>
    </row>
    <row r="365" spans="1:19" hidden="1" x14ac:dyDescent="0.25">
      <c r="A365" s="10" t="s">
        <v>540</v>
      </c>
      <c r="B365" s="11" t="s">
        <v>401</v>
      </c>
      <c r="C365" s="10" t="s">
        <v>35</v>
      </c>
      <c r="D365" s="10" t="s">
        <v>19</v>
      </c>
      <c r="E365" s="12">
        <v>61331</v>
      </c>
      <c r="F365" s="13">
        <v>78658</v>
      </c>
      <c r="G365" s="13">
        <v>60900</v>
      </c>
      <c r="H365" s="18">
        <f t="shared" si="5"/>
        <v>17758</v>
      </c>
      <c r="I365" s="14">
        <v>-0.225762160237992</v>
      </c>
      <c r="J365" s="16" t="s">
        <v>20</v>
      </c>
      <c r="O365" s="15" t="s">
        <v>13</v>
      </c>
      <c r="Q365" s="17" t="s">
        <v>541</v>
      </c>
      <c r="R365" s="13">
        <v>-8407</v>
      </c>
      <c r="S365" s="1"/>
    </row>
    <row r="366" spans="1:19" hidden="1" x14ac:dyDescent="0.25">
      <c r="A366" s="10" t="s">
        <v>566</v>
      </c>
      <c r="B366" s="11" t="s">
        <v>401</v>
      </c>
      <c r="C366" s="10" t="s">
        <v>35</v>
      </c>
      <c r="D366" s="10" t="s">
        <v>19</v>
      </c>
      <c r="E366" s="12">
        <v>107615</v>
      </c>
      <c r="F366" s="13">
        <v>78658</v>
      </c>
      <c r="G366" s="13">
        <v>69200</v>
      </c>
      <c r="H366" s="18">
        <f t="shared" si="5"/>
        <v>9458</v>
      </c>
      <c r="I366" s="14">
        <v>-0.120242060565995</v>
      </c>
      <c r="J366" s="16" t="s">
        <v>21</v>
      </c>
      <c r="O366" s="15" t="s">
        <v>13</v>
      </c>
      <c r="Q366" s="17" t="s">
        <v>21</v>
      </c>
      <c r="R366" s="13">
        <v>0</v>
      </c>
      <c r="S366" s="1"/>
    </row>
    <row r="367" spans="1:19" hidden="1" x14ac:dyDescent="0.25">
      <c r="A367" s="10" t="s">
        <v>596</v>
      </c>
      <c r="B367" s="11" t="s">
        <v>401</v>
      </c>
      <c r="C367" s="10" t="s">
        <v>45</v>
      </c>
      <c r="D367" s="10" t="s">
        <v>19</v>
      </c>
      <c r="E367" s="12">
        <v>60628</v>
      </c>
      <c r="F367" s="13">
        <v>88356</v>
      </c>
      <c r="G367" s="13">
        <v>71800</v>
      </c>
      <c r="H367" s="18">
        <f t="shared" si="5"/>
        <v>16556</v>
      </c>
      <c r="I367" s="14">
        <v>-0.18737833310697599</v>
      </c>
      <c r="J367" s="16" t="s">
        <v>20</v>
      </c>
      <c r="O367" s="15" t="s">
        <v>13</v>
      </c>
      <c r="Q367" s="17" t="s">
        <v>597</v>
      </c>
      <c r="R367" s="13">
        <v>-5550</v>
      </c>
      <c r="S367" s="1"/>
    </row>
    <row r="368" spans="1:19" hidden="1" x14ac:dyDescent="0.25">
      <c r="A368" s="10" t="s">
        <v>598</v>
      </c>
      <c r="B368" s="11" t="s">
        <v>401</v>
      </c>
      <c r="C368" s="10" t="s">
        <v>45</v>
      </c>
      <c r="D368" s="10" t="s">
        <v>19</v>
      </c>
      <c r="E368" s="12">
        <v>52220</v>
      </c>
      <c r="F368" s="13">
        <v>88356</v>
      </c>
      <c r="G368" s="13">
        <v>71200</v>
      </c>
      <c r="H368" s="18">
        <f t="shared" si="5"/>
        <v>17156</v>
      </c>
      <c r="I368" s="14">
        <v>-0.19416904341527499</v>
      </c>
      <c r="J368" s="16" t="s">
        <v>14</v>
      </c>
      <c r="O368" s="15" t="s">
        <v>13</v>
      </c>
      <c r="Q368" s="17" t="s">
        <v>599</v>
      </c>
      <c r="R368" s="13">
        <v>-5391</v>
      </c>
      <c r="S368" s="1"/>
    </row>
    <row r="369" spans="1:19" hidden="1" x14ac:dyDescent="0.25">
      <c r="A369" s="10" t="s">
        <v>610</v>
      </c>
      <c r="B369" s="11" t="s">
        <v>401</v>
      </c>
      <c r="C369" s="10" t="s">
        <v>45</v>
      </c>
      <c r="D369" s="10" t="s">
        <v>12</v>
      </c>
      <c r="E369" s="12">
        <v>26153</v>
      </c>
      <c r="F369" s="13">
        <v>88356</v>
      </c>
      <c r="G369" s="13">
        <v>73000</v>
      </c>
      <c r="H369" s="18">
        <f t="shared" si="5"/>
        <v>15356</v>
      </c>
      <c r="I369" s="14">
        <v>-0.17379691249038001</v>
      </c>
      <c r="J369" s="16" t="s">
        <v>23</v>
      </c>
      <c r="O369" s="15" t="s">
        <v>13</v>
      </c>
      <c r="Q369" s="17" t="s">
        <v>611</v>
      </c>
      <c r="R369" s="13">
        <v>-2674</v>
      </c>
      <c r="S369" s="1"/>
    </row>
    <row r="370" spans="1:19" hidden="1" x14ac:dyDescent="0.25">
      <c r="A370" s="10" t="s">
        <v>616</v>
      </c>
      <c r="B370" s="11" t="s">
        <v>401</v>
      </c>
      <c r="C370" s="10" t="s">
        <v>45</v>
      </c>
      <c r="D370" s="10" t="s">
        <v>19</v>
      </c>
      <c r="E370" s="12">
        <v>110000</v>
      </c>
      <c r="F370" s="13">
        <v>88356</v>
      </c>
      <c r="G370" s="13">
        <v>62200</v>
      </c>
      <c r="H370" s="18">
        <f t="shared" si="5"/>
        <v>26156</v>
      </c>
      <c r="I370" s="14">
        <v>-0.29602969803974799</v>
      </c>
      <c r="J370" s="16" t="s">
        <v>14</v>
      </c>
      <c r="O370" s="15" t="s">
        <v>13</v>
      </c>
      <c r="Q370" s="17" t="s">
        <v>617</v>
      </c>
      <c r="R370" s="13">
        <v>-10245</v>
      </c>
      <c r="S370" s="1"/>
    </row>
    <row r="371" spans="1:19" hidden="1" x14ac:dyDescent="0.25">
      <c r="A371" s="10" t="s">
        <v>641</v>
      </c>
      <c r="B371" s="11" t="s">
        <v>401</v>
      </c>
      <c r="C371" s="10" t="s">
        <v>45</v>
      </c>
      <c r="D371" s="10" t="s">
        <v>19</v>
      </c>
      <c r="E371" s="12">
        <v>70112</v>
      </c>
      <c r="F371" s="13">
        <v>88356</v>
      </c>
      <c r="G371" s="13">
        <v>78500</v>
      </c>
      <c r="H371" s="18">
        <f t="shared" si="5"/>
        <v>9856</v>
      </c>
      <c r="I371" s="14">
        <v>-0.111548734664313</v>
      </c>
      <c r="J371" s="16" t="s">
        <v>21</v>
      </c>
      <c r="O371" s="15" t="s">
        <v>13</v>
      </c>
      <c r="Q371" s="17" t="s">
        <v>21</v>
      </c>
      <c r="R371" s="13">
        <v>0</v>
      </c>
      <c r="S371" s="1"/>
    </row>
    <row r="372" spans="1:19" hidden="1" x14ac:dyDescent="0.25">
      <c r="A372" s="10" t="s">
        <v>642</v>
      </c>
      <c r="B372" s="11" t="s">
        <v>401</v>
      </c>
      <c r="C372" s="10" t="s">
        <v>45</v>
      </c>
      <c r="D372" s="10" t="s">
        <v>19</v>
      </c>
      <c r="E372" s="12">
        <v>38501</v>
      </c>
      <c r="F372" s="13">
        <v>88356</v>
      </c>
      <c r="G372" s="13">
        <v>71900</v>
      </c>
      <c r="H372" s="18">
        <f t="shared" si="5"/>
        <v>16456</v>
      </c>
      <c r="I372" s="14">
        <v>-0.18624654805559299</v>
      </c>
      <c r="J372" s="16" t="s">
        <v>20</v>
      </c>
      <c r="O372" s="15" t="s">
        <v>13</v>
      </c>
      <c r="Q372" s="17" t="s">
        <v>643</v>
      </c>
      <c r="R372" s="13">
        <v>-7815</v>
      </c>
      <c r="S372" s="1"/>
    </row>
    <row r="373" spans="1:19" hidden="1" x14ac:dyDescent="0.25">
      <c r="A373" s="10" t="s">
        <v>664</v>
      </c>
      <c r="B373" s="11" t="s">
        <v>401</v>
      </c>
      <c r="C373" s="10" t="s">
        <v>18</v>
      </c>
      <c r="D373" s="10" t="s">
        <v>19</v>
      </c>
      <c r="E373" s="12">
        <v>70192</v>
      </c>
      <c r="F373" s="13">
        <v>78658</v>
      </c>
      <c r="G373" s="13">
        <v>70800</v>
      </c>
      <c r="H373" s="18">
        <f t="shared" si="5"/>
        <v>7858</v>
      </c>
      <c r="I373" s="14">
        <v>-9.9900836532838294E-2</v>
      </c>
      <c r="J373" s="16" t="s">
        <v>20</v>
      </c>
      <c r="O373" s="15" t="s">
        <v>653</v>
      </c>
      <c r="Q373" s="17" t="s">
        <v>665</v>
      </c>
      <c r="R373" s="13">
        <v>0</v>
      </c>
      <c r="S373" s="1"/>
    </row>
    <row r="374" spans="1:19" hidden="1" x14ac:dyDescent="0.25">
      <c r="A374" s="10" t="s">
        <v>674</v>
      </c>
      <c r="B374" s="11" t="s">
        <v>401</v>
      </c>
      <c r="C374" s="10" t="s">
        <v>18</v>
      </c>
      <c r="D374" s="10" t="s">
        <v>26</v>
      </c>
      <c r="E374" s="12">
        <v>56218</v>
      </c>
      <c r="F374" s="13">
        <v>78658</v>
      </c>
      <c r="G374" s="13">
        <v>70800</v>
      </c>
      <c r="H374" s="18">
        <f t="shared" si="5"/>
        <v>7858</v>
      </c>
      <c r="I374" s="14">
        <v>-9.9900836532838294E-2</v>
      </c>
      <c r="J374" s="16" t="s">
        <v>14</v>
      </c>
      <c r="O374" s="15" t="s">
        <v>653</v>
      </c>
      <c r="Q374" s="17" t="s">
        <v>675</v>
      </c>
      <c r="R374" s="13">
        <v>0</v>
      </c>
      <c r="S374" s="1"/>
    </row>
    <row r="375" spans="1:19" hidden="1" x14ac:dyDescent="0.25">
      <c r="A375" s="10" t="s">
        <v>694</v>
      </c>
      <c r="B375" s="11" t="s">
        <v>401</v>
      </c>
      <c r="C375" s="10" t="s">
        <v>45</v>
      </c>
      <c r="D375" s="10" t="s">
        <v>19</v>
      </c>
      <c r="E375" s="12">
        <v>39110</v>
      </c>
      <c r="F375" s="13">
        <v>88356</v>
      </c>
      <c r="G375" s="13">
        <v>79600</v>
      </c>
      <c r="H375" s="18">
        <f t="shared" si="5"/>
        <v>8756</v>
      </c>
      <c r="I375" s="14">
        <v>-9.90990990990991E-2</v>
      </c>
      <c r="J375" s="16" t="s">
        <v>14</v>
      </c>
      <c r="O375" s="15" t="s">
        <v>653</v>
      </c>
      <c r="Q375" s="17" t="s">
        <v>695</v>
      </c>
      <c r="R375" s="13">
        <v>0</v>
      </c>
      <c r="S375" s="1"/>
    </row>
    <row r="376" spans="1:19" hidden="1" x14ac:dyDescent="0.25">
      <c r="A376" s="10" t="s">
        <v>729</v>
      </c>
      <c r="B376" s="11" t="s">
        <v>401</v>
      </c>
      <c r="C376" s="10" t="s">
        <v>18</v>
      </c>
      <c r="D376" s="10" t="s">
        <v>19</v>
      </c>
      <c r="E376" s="12">
        <v>60802</v>
      </c>
      <c r="F376" s="13">
        <v>78658</v>
      </c>
      <c r="G376" s="13">
        <v>70800</v>
      </c>
      <c r="H376" s="18">
        <f t="shared" si="5"/>
        <v>7858</v>
      </c>
      <c r="I376" s="14">
        <v>-9.9900836532838294E-2</v>
      </c>
      <c r="J376" s="16" t="s">
        <v>20</v>
      </c>
      <c r="O376" s="15" t="s">
        <v>653</v>
      </c>
      <c r="Q376" s="17" t="s">
        <v>730</v>
      </c>
      <c r="R376" s="13">
        <v>0</v>
      </c>
      <c r="S376" s="1"/>
    </row>
    <row r="377" spans="1:19" hidden="1" x14ac:dyDescent="0.25">
      <c r="A377" s="10" t="s">
        <v>144</v>
      </c>
      <c r="B377" s="11" t="s">
        <v>145</v>
      </c>
      <c r="C377" s="10" t="s">
        <v>30</v>
      </c>
      <c r="D377" s="10" t="s">
        <v>19</v>
      </c>
      <c r="E377" s="12">
        <v>56999</v>
      </c>
      <c r="F377" s="13">
        <v>69196</v>
      </c>
      <c r="G377" s="13">
        <v>57600</v>
      </c>
      <c r="H377" s="18">
        <f t="shared" si="5"/>
        <v>11596</v>
      </c>
      <c r="I377" s="14">
        <v>-0.167581941152668</v>
      </c>
      <c r="J377" s="16" t="s">
        <v>20</v>
      </c>
      <c r="O377" s="15" t="s">
        <v>13</v>
      </c>
      <c r="Q377" s="17" t="s">
        <v>146</v>
      </c>
      <c r="R377" s="13">
        <v>-5142</v>
      </c>
      <c r="S377" s="1"/>
    </row>
    <row r="378" spans="1:19" hidden="1" x14ac:dyDescent="0.25">
      <c r="A378" s="10" t="s">
        <v>162</v>
      </c>
      <c r="B378" s="11" t="s">
        <v>145</v>
      </c>
      <c r="C378" s="10" t="s">
        <v>30</v>
      </c>
      <c r="D378" s="10" t="s">
        <v>19</v>
      </c>
      <c r="E378" s="12">
        <v>73175</v>
      </c>
      <c r="F378" s="13">
        <v>69196</v>
      </c>
      <c r="G378" s="13">
        <v>62300</v>
      </c>
      <c r="H378" s="18">
        <f t="shared" si="5"/>
        <v>6896</v>
      </c>
      <c r="I378" s="14">
        <v>-9.9658939823111095E-2</v>
      </c>
      <c r="J378" s="16" t="s">
        <v>20</v>
      </c>
      <c r="O378" s="15" t="s">
        <v>13</v>
      </c>
      <c r="Q378" s="17" t="s">
        <v>163</v>
      </c>
      <c r="R378" s="13">
        <v>-750</v>
      </c>
      <c r="S378" s="1"/>
    </row>
    <row r="379" spans="1:19" hidden="1" x14ac:dyDescent="0.25">
      <c r="A379" s="10" t="s">
        <v>315</v>
      </c>
      <c r="B379" s="11" t="s">
        <v>145</v>
      </c>
      <c r="C379" s="10" t="s">
        <v>285</v>
      </c>
      <c r="D379" s="10" t="s">
        <v>19</v>
      </c>
      <c r="E379" s="12">
        <v>90954</v>
      </c>
      <c r="F379" s="13">
        <v>75421</v>
      </c>
      <c r="G379" s="13">
        <v>57800</v>
      </c>
      <c r="H379" s="18">
        <f t="shared" si="5"/>
        <v>17621</v>
      </c>
      <c r="I379" s="14">
        <v>-0.23363519444186601</v>
      </c>
      <c r="J379" s="16" t="s">
        <v>23</v>
      </c>
      <c r="O379" s="15" t="s">
        <v>13</v>
      </c>
      <c r="Q379" s="17" t="s">
        <v>316</v>
      </c>
      <c r="R379" s="13">
        <v>-4689</v>
      </c>
      <c r="S379" s="1"/>
    </row>
    <row r="380" spans="1:19" hidden="1" x14ac:dyDescent="0.25">
      <c r="A380" s="10" t="s">
        <v>317</v>
      </c>
      <c r="B380" s="11" t="s">
        <v>145</v>
      </c>
      <c r="C380" s="10" t="s">
        <v>285</v>
      </c>
      <c r="D380" s="10" t="s">
        <v>19</v>
      </c>
      <c r="E380" s="12">
        <v>179129</v>
      </c>
      <c r="F380" s="13">
        <v>75421</v>
      </c>
      <c r="G380" s="13">
        <v>57400</v>
      </c>
      <c r="H380" s="18">
        <f t="shared" si="5"/>
        <v>18021</v>
      </c>
      <c r="I380" s="14">
        <v>-0.238938757110089</v>
      </c>
      <c r="J380" s="16" t="s">
        <v>20</v>
      </c>
      <c r="O380" s="15" t="s">
        <v>13</v>
      </c>
      <c r="Q380" s="17" t="s">
        <v>318</v>
      </c>
      <c r="R380" s="13">
        <v>-5068</v>
      </c>
      <c r="S380" s="1"/>
    </row>
    <row r="381" spans="1:19" hidden="1" x14ac:dyDescent="0.25">
      <c r="A381" s="10" t="s">
        <v>319</v>
      </c>
      <c r="B381" s="11" t="s">
        <v>145</v>
      </c>
      <c r="C381" s="10" t="s">
        <v>285</v>
      </c>
      <c r="D381" s="10" t="s">
        <v>19</v>
      </c>
      <c r="E381" s="12">
        <v>229996</v>
      </c>
      <c r="F381" s="13">
        <v>75421</v>
      </c>
      <c r="G381" s="13">
        <v>56900</v>
      </c>
      <c r="H381" s="18">
        <f t="shared" si="5"/>
        <v>18521</v>
      </c>
      <c r="I381" s="14">
        <v>-0.245568210445367</v>
      </c>
      <c r="J381" s="16" t="s">
        <v>14</v>
      </c>
      <c r="O381" s="15" t="s">
        <v>13</v>
      </c>
      <c r="Q381" s="17" t="s">
        <v>320</v>
      </c>
      <c r="R381" s="13">
        <v>-4265</v>
      </c>
      <c r="S381" s="1"/>
    </row>
    <row r="382" spans="1:19" hidden="1" x14ac:dyDescent="0.25">
      <c r="A382" s="10" t="s">
        <v>321</v>
      </c>
      <c r="B382" s="11" t="s">
        <v>145</v>
      </c>
      <c r="C382" s="10" t="s">
        <v>285</v>
      </c>
      <c r="D382" s="10" t="s">
        <v>19</v>
      </c>
      <c r="E382" s="12">
        <v>173090</v>
      </c>
      <c r="F382" s="13">
        <v>75421</v>
      </c>
      <c r="G382" s="13">
        <v>55700</v>
      </c>
      <c r="H382" s="18">
        <f t="shared" si="5"/>
        <v>19721</v>
      </c>
      <c r="I382" s="14">
        <v>-0.26147889845003403</v>
      </c>
      <c r="J382" s="16" t="s">
        <v>14</v>
      </c>
      <c r="O382" s="15" t="s">
        <v>13</v>
      </c>
      <c r="Q382" s="17" t="s">
        <v>322</v>
      </c>
      <c r="R382" s="13">
        <v>-6180</v>
      </c>
      <c r="S382" s="1"/>
    </row>
    <row r="383" spans="1:19" hidden="1" x14ac:dyDescent="0.25">
      <c r="A383" s="10" t="s">
        <v>330</v>
      </c>
      <c r="B383" s="11" t="s">
        <v>145</v>
      </c>
      <c r="C383" s="10" t="s">
        <v>285</v>
      </c>
      <c r="D383" s="10" t="s">
        <v>12</v>
      </c>
      <c r="E383" s="12">
        <v>9203</v>
      </c>
      <c r="F383" s="13">
        <v>75421</v>
      </c>
      <c r="G383" s="13">
        <v>63400</v>
      </c>
      <c r="H383" s="18">
        <f t="shared" si="5"/>
        <v>12021</v>
      </c>
      <c r="I383" s="14">
        <v>-0.15938531708675299</v>
      </c>
      <c r="J383" s="16" t="s">
        <v>20</v>
      </c>
      <c r="O383" s="15" t="s">
        <v>13</v>
      </c>
      <c r="Q383" s="17" t="s">
        <v>331</v>
      </c>
      <c r="R383" s="13">
        <v>-5996</v>
      </c>
      <c r="S383" s="1"/>
    </row>
    <row r="384" spans="1:19" hidden="1" x14ac:dyDescent="0.25">
      <c r="A384" s="10" t="s">
        <v>737</v>
      </c>
      <c r="B384" s="11" t="s">
        <v>738</v>
      </c>
      <c r="C384" s="10" t="s">
        <v>45</v>
      </c>
      <c r="D384" s="10" t="s">
        <v>52</v>
      </c>
      <c r="E384" s="12">
        <v>26495</v>
      </c>
      <c r="F384" s="13">
        <v>95108</v>
      </c>
      <c r="G384" s="13">
        <v>85600</v>
      </c>
      <c r="H384" s="18">
        <f t="shared" si="5"/>
        <v>9508</v>
      </c>
      <c r="I384" s="14">
        <v>-9.9970559784665805E-2</v>
      </c>
      <c r="J384" s="16" t="s">
        <v>14</v>
      </c>
      <c r="O384" s="15" t="s">
        <v>653</v>
      </c>
      <c r="Q384" s="17" t="s">
        <v>739</v>
      </c>
      <c r="R384" s="13">
        <v>0</v>
      </c>
      <c r="S384" s="1"/>
    </row>
    <row r="385" spans="1:19" hidden="1" x14ac:dyDescent="0.25">
      <c r="A385" s="10" t="s">
        <v>416</v>
      </c>
      <c r="B385" s="11" t="s">
        <v>417</v>
      </c>
      <c r="C385" s="10" t="s">
        <v>18</v>
      </c>
      <c r="D385" s="10" t="s">
        <v>12</v>
      </c>
      <c r="E385" s="12">
        <v>121172</v>
      </c>
      <c r="F385" s="13">
        <v>101521</v>
      </c>
      <c r="G385" s="13">
        <v>81900</v>
      </c>
      <c r="H385" s="18">
        <f t="shared" si="5"/>
        <v>19621</v>
      </c>
      <c r="I385" s="14">
        <v>-0.19327035785699501</v>
      </c>
      <c r="J385" s="16" t="s">
        <v>20</v>
      </c>
      <c r="O385" s="15" t="s">
        <v>13</v>
      </c>
      <c r="Q385" s="17" t="s">
        <v>418</v>
      </c>
      <c r="R385" s="13">
        <v>-6150</v>
      </c>
      <c r="S385" s="1"/>
    </row>
    <row r="386" spans="1:19" hidden="1" x14ac:dyDescent="0.25">
      <c r="A386" s="10" t="s">
        <v>618</v>
      </c>
      <c r="B386" s="11" t="s">
        <v>417</v>
      </c>
      <c r="C386" s="10" t="s">
        <v>45</v>
      </c>
      <c r="D386" s="10" t="s">
        <v>19</v>
      </c>
      <c r="E386" s="12">
        <v>123498</v>
      </c>
      <c r="F386" s="13">
        <v>110524</v>
      </c>
      <c r="G386" s="13">
        <v>96200</v>
      </c>
      <c r="H386" s="18">
        <f t="shared" ref="H386:H449" si="6">F386-G386</f>
        <v>14324</v>
      </c>
      <c r="I386" s="14">
        <v>-0.12960081068365201</v>
      </c>
      <c r="J386" s="16" t="s">
        <v>21</v>
      </c>
      <c r="O386" s="15" t="s">
        <v>13</v>
      </c>
      <c r="Q386" s="17" t="s">
        <v>21</v>
      </c>
      <c r="R386" s="13">
        <v>0</v>
      </c>
      <c r="S386" s="1"/>
    </row>
    <row r="387" spans="1:19" hidden="1" x14ac:dyDescent="0.25">
      <c r="A387" s="10" t="s">
        <v>743</v>
      </c>
      <c r="B387" s="11" t="s">
        <v>744</v>
      </c>
      <c r="C387" s="10" t="s">
        <v>18</v>
      </c>
      <c r="D387" s="10" t="s">
        <v>52</v>
      </c>
      <c r="E387" s="12">
        <v>34392</v>
      </c>
      <c r="F387" s="13">
        <v>164413</v>
      </c>
      <c r="G387" s="13">
        <v>148000</v>
      </c>
      <c r="H387" s="18">
        <f t="shared" si="6"/>
        <v>16413</v>
      </c>
      <c r="I387" s="14">
        <v>-9.9827872491834599E-2</v>
      </c>
      <c r="J387" s="16" t="s">
        <v>20</v>
      </c>
      <c r="O387" s="15" t="s">
        <v>653</v>
      </c>
      <c r="Q387" s="17" t="s">
        <v>745</v>
      </c>
      <c r="R387" s="13">
        <v>0</v>
      </c>
      <c r="S387" s="1"/>
    </row>
    <row r="388" spans="1:19" x14ac:dyDescent="0.25">
      <c r="A388" s="10" t="s">
        <v>147</v>
      </c>
      <c r="B388" s="11" t="s">
        <v>148</v>
      </c>
      <c r="C388" s="10" t="s">
        <v>30</v>
      </c>
      <c r="D388" s="10" t="s">
        <v>19</v>
      </c>
      <c r="E388" s="12">
        <v>75053</v>
      </c>
      <c r="F388" s="13">
        <v>105698</v>
      </c>
      <c r="G388" s="13">
        <v>86400</v>
      </c>
      <c r="H388" s="18">
        <f t="shared" si="6"/>
        <v>19298</v>
      </c>
      <c r="I388" s="14">
        <v>-0.18257677534106601</v>
      </c>
      <c r="J388" s="16" t="s">
        <v>14</v>
      </c>
      <c r="O388" s="15"/>
      <c r="Q388" s="17"/>
      <c r="R388" s="13"/>
      <c r="S388" s="1"/>
    </row>
    <row r="389" spans="1:19" hidden="1" x14ac:dyDescent="0.25">
      <c r="A389" s="10" t="s">
        <v>709</v>
      </c>
      <c r="B389" s="11" t="s">
        <v>710</v>
      </c>
      <c r="C389" s="10" t="s">
        <v>18</v>
      </c>
      <c r="D389" s="10" t="s">
        <v>12</v>
      </c>
      <c r="E389" s="12">
        <v>84988</v>
      </c>
      <c r="F389" s="13">
        <v>120846</v>
      </c>
      <c r="G389" s="13">
        <v>108800</v>
      </c>
      <c r="H389" s="18">
        <f t="shared" si="6"/>
        <v>12046</v>
      </c>
      <c r="I389" s="14">
        <v>-9.9680585207619604E-2</v>
      </c>
      <c r="J389" s="16" t="s">
        <v>20</v>
      </c>
      <c r="O389" s="15" t="s">
        <v>653</v>
      </c>
      <c r="Q389" s="17" t="s">
        <v>711</v>
      </c>
      <c r="R389" s="13">
        <v>0</v>
      </c>
      <c r="S389" s="1"/>
    </row>
    <row r="390" spans="1:19" hidden="1" x14ac:dyDescent="0.25">
      <c r="A390" s="10" t="s">
        <v>502</v>
      </c>
      <c r="B390" s="11" t="s">
        <v>503</v>
      </c>
      <c r="C390" s="10" t="s">
        <v>35</v>
      </c>
      <c r="D390" s="10" t="s">
        <v>12</v>
      </c>
      <c r="E390" s="12">
        <v>139650</v>
      </c>
      <c r="F390" s="13">
        <v>96216</v>
      </c>
      <c r="G390" s="13">
        <v>84700</v>
      </c>
      <c r="H390" s="18">
        <f t="shared" si="6"/>
        <v>11516</v>
      </c>
      <c r="I390" s="14">
        <v>-0.119689033009063</v>
      </c>
      <c r="J390" s="16" t="s">
        <v>21</v>
      </c>
      <c r="O390" s="15" t="s">
        <v>13</v>
      </c>
      <c r="Q390" s="17" t="s">
        <v>21</v>
      </c>
      <c r="R390" s="13">
        <v>0</v>
      </c>
      <c r="S390" s="1"/>
    </row>
    <row r="391" spans="1:19" hidden="1" x14ac:dyDescent="0.25">
      <c r="A391" s="10" t="s">
        <v>283</v>
      </c>
      <c r="B391" s="11" t="s">
        <v>284</v>
      </c>
      <c r="C391" s="10" t="s">
        <v>285</v>
      </c>
      <c r="D391" s="10" t="s">
        <v>19</v>
      </c>
      <c r="E391" s="12">
        <v>95056</v>
      </c>
      <c r="F391" s="13">
        <v>60297</v>
      </c>
      <c r="G391" s="13">
        <v>56600</v>
      </c>
      <c r="H391" s="18">
        <f t="shared" si="6"/>
        <v>3697</v>
      </c>
      <c r="I391" s="14">
        <v>-6.1313166492528597E-2</v>
      </c>
      <c r="J391" s="16" t="s">
        <v>20</v>
      </c>
      <c r="O391" s="15" t="s">
        <v>13</v>
      </c>
      <c r="Q391" s="17" t="s">
        <v>286</v>
      </c>
      <c r="R391" s="13">
        <v>0</v>
      </c>
      <c r="S391" s="1"/>
    </row>
    <row r="392" spans="1:19" hidden="1" x14ac:dyDescent="0.25">
      <c r="A392" s="10" t="s">
        <v>131</v>
      </c>
      <c r="B392" s="11" t="s">
        <v>132</v>
      </c>
      <c r="C392" s="10" t="s">
        <v>11</v>
      </c>
      <c r="D392" s="10" t="s">
        <v>52</v>
      </c>
      <c r="E392" s="12">
        <v>126718</v>
      </c>
      <c r="F392" s="13">
        <v>178164</v>
      </c>
      <c r="G392" s="13">
        <v>149500</v>
      </c>
      <c r="H392" s="18">
        <f t="shared" si="6"/>
        <v>28664</v>
      </c>
      <c r="I392" s="14">
        <v>-0.16088547630273201</v>
      </c>
      <c r="J392" s="16" t="s">
        <v>20</v>
      </c>
      <c r="O392" s="15" t="s">
        <v>13</v>
      </c>
      <c r="Q392" s="17" t="s">
        <v>133</v>
      </c>
      <c r="R392" s="13">
        <v>-2477</v>
      </c>
      <c r="S392" s="1"/>
    </row>
    <row r="393" spans="1:19" hidden="1" x14ac:dyDescent="0.25">
      <c r="A393" s="10" t="s">
        <v>678</v>
      </c>
      <c r="B393" s="11" t="s">
        <v>679</v>
      </c>
      <c r="C393" s="10" t="s">
        <v>42</v>
      </c>
      <c r="D393" s="10" t="s">
        <v>680</v>
      </c>
      <c r="E393" s="12">
        <v>78146</v>
      </c>
      <c r="F393" s="13">
        <v>365945</v>
      </c>
      <c r="G393" s="13">
        <v>357300</v>
      </c>
      <c r="H393" s="18">
        <f t="shared" si="6"/>
        <v>8645</v>
      </c>
      <c r="I393" s="14">
        <v>6.69015661625285E-2</v>
      </c>
      <c r="J393" s="16" t="s">
        <v>20</v>
      </c>
      <c r="O393" s="15" t="s">
        <v>653</v>
      </c>
      <c r="Q393" s="17" t="s">
        <v>681</v>
      </c>
      <c r="R393" s="13">
        <v>0</v>
      </c>
      <c r="S393" s="1"/>
    </row>
    <row r="394" spans="1:19" hidden="1" x14ac:dyDescent="0.25">
      <c r="A394" s="10" t="s">
        <v>619</v>
      </c>
      <c r="B394" s="11" t="s">
        <v>620</v>
      </c>
      <c r="C394" s="10" t="s">
        <v>45</v>
      </c>
      <c r="D394" s="10" t="s">
        <v>26</v>
      </c>
      <c r="E394" s="12">
        <v>33040</v>
      </c>
      <c r="F394" s="13">
        <v>97365</v>
      </c>
      <c r="G394" s="13">
        <v>80900</v>
      </c>
      <c r="H394" s="18">
        <f t="shared" si="6"/>
        <v>16465</v>
      </c>
      <c r="I394" s="14">
        <v>-0.169105941560109</v>
      </c>
      <c r="J394" s="16" t="s">
        <v>14</v>
      </c>
      <c r="O394" s="15" t="s">
        <v>13</v>
      </c>
      <c r="Q394" s="17" t="s">
        <v>621</v>
      </c>
      <c r="R394" s="13">
        <v>-5990</v>
      </c>
      <c r="S394" s="1"/>
    </row>
    <row r="395" spans="1:19" hidden="1" x14ac:dyDescent="0.25">
      <c r="A395" s="10" t="s">
        <v>733</v>
      </c>
      <c r="B395" s="11" t="s">
        <v>620</v>
      </c>
      <c r="C395" s="10" t="s">
        <v>45</v>
      </c>
      <c r="D395" s="10" t="s">
        <v>26</v>
      </c>
      <c r="E395" s="12">
        <v>19297</v>
      </c>
      <c r="F395" s="13">
        <v>97365</v>
      </c>
      <c r="G395" s="13">
        <v>89600</v>
      </c>
      <c r="H395" s="18">
        <f t="shared" si="6"/>
        <v>7765</v>
      </c>
      <c r="I395" s="14">
        <v>-7.9751450726647105E-2</v>
      </c>
      <c r="J395" s="16" t="s">
        <v>14</v>
      </c>
      <c r="O395" s="15" t="s">
        <v>653</v>
      </c>
      <c r="Q395" s="17" t="s">
        <v>734</v>
      </c>
      <c r="R395" s="13">
        <v>0</v>
      </c>
      <c r="S395" s="1"/>
    </row>
    <row r="396" spans="1:19" x14ac:dyDescent="0.25">
      <c r="A396" s="10" t="s">
        <v>594</v>
      </c>
      <c r="B396" s="11" t="s">
        <v>595</v>
      </c>
      <c r="C396" s="10" t="s">
        <v>45</v>
      </c>
      <c r="D396" s="10" t="s">
        <v>52</v>
      </c>
      <c r="E396" s="12">
        <v>20666</v>
      </c>
      <c r="F396" s="13">
        <v>99403</v>
      </c>
      <c r="G396" s="13">
        <v>86200</v>
      </c>
      <c r="H396" s="18">
        <f t="shared" si="6"/>
        <v>13203</v>
      </c>
      <c r="I396" s="14">
        <v>-0.13282295302958699</v>
      </c>
      <c r="J396" s="16" t="s">
        <v>20</v>
      </c>
      <c r="O396" s="15"/>
      <c r="Q396" s="17"/>
      <c r="R396" s="13"/>
      <c r="S396" s="1"/>
    </row>
    <row r="397" spans="1:19" x14ac:dyDescent="0.25">
      <c r="S397" s="1"/>
    </row>
    <row r="398" spans="1:19" x14ac:dyDescent="0.25">
      <c r="S398" s="1"/>
    </row>
    <row r="399" spans="1:19" x14ac:dyDescent="0.25">
      <c r="S399" s="1"/>
    </row>
    <row r="400" spans="1:19" x14ac:dyDescent="0.25">
      <c r="S400" s="1"/>
    </row>
    <row r="401" spans="19:19" x14ac:dyDescent="0.25">
      <c r="S401" s="1"/>
    </row>
    <row r="402" spans="19:19" x14ac:dyDescent="0.25">
      <c r="S402" s="1"/>
    </row>
    <row r="403" spans="19:19" x14ac:dyDescent="0.25">
      <c r="S403" s="1"/>
    </row>
    <row r="404" spans="19:19" x14ac:dyDescent="0.25">
      <c r="S404" s="1"/>
    </row>
    <row r="405" spans="19:19" x14ac:dyDescent="0.25">
      <c r="S405" s="1"/>
    </row>
    <row r="406" spans="19:19" x14ac:dyDescent="0.25">
      <c r="S406" s="1"/>
    </row>
    <row r="407" spans="19:19" x14ac:dyDescent="0.25">
      <c r="S407" s="1"/>
    </row>
    <row r="408" spans="19:19" x14ac:dyDescent="0.25">
      <c r="S408" s="1"/>
    </row>
    <row r="409" spans="19:19" x14ac:dyDescent="0.25">
      <c r="S409" s="1"/>
    </row>
    <row r="410" spans="19:19" x14ac:dyDescent="0.25">
      <c r="S410" s="1"/>
    </row>
    <row r="411" spans="19:19" x14ac:dyDescent="0.25">
      <c r="S411" s="1"/>
    </row>
    <row r="412" spans="19:19" x14ac:dyDescent="0.25">
      <c r="S412" s="1"/>
    </row>
    <row r="413" spans="19:19" x14ac:dyDescent="0.25">
      <c r="S413" s="1"/>
    </row>
    <row r="414" spans="19:19" x14ac:dyDescent="0.25">
      <c r="S414" s="1"/>
    </row>
    <row r="415" spans="19:19" x14ac:dyDescent="0.25">
      <c r="S415" s="1"/>
    </row>
    <row r="416" spans="19:19" x14ac:dyDescent="0.25">
      <c r="S416" s="1"/>
    </row>
    <row r="417" spans="19:19" x14ac:dyDescent="0.25">
      <c r="S417" s="1"/>
    </row>
    <row r="418" spans="19:19" x14ac:dyDescent="0.25">
      <c r="S418" s="1"/>
    </row>
    <row r="419" spans="19:19" x14ac:dyDescent="0.25">
      <c r="S419" s="1"/>
    </row>
    <row r="420" spans="19:19" x14ac:dyDescent="0.25">
      <c r="S420" s="1"/>
    </row>
    <row r="421" spans="19:19" x14ac:dyDescent="0.25">
      <c r="S421" s="1"/>
    </row>
    <row r="422" spans="19:19" x14ac:dyDescent="0.25">
      <c r="S422" s="1"/>
    </row>
    <row r="423" spans="19:19" x14ac:dyDescent="0.25">
      <c r="S423" s="1"/>
    </row>
    <row r="424" spans="19:19" x14ac:dyDescent="0.25">
      <c r="S424" s="1"/>
    </row>
    <row r="425" spans="19:19" x14ac:dyDescent="0.25">
      <c r="S425" s="1"/>
    </row>
    <row r="426" spans="19:19" x14ac:dyDescent="0.25">
      <c r="S426" s="1"/>
    </row>
    <row r="427" spans="19:19" x14ac:dyDescent="0.25">
      <c r="S427" s="1"/>
    </row>
    <row r="428" spans="19:19" x14ac:dyDescent="0.25">
      <c r="S428" s="1"/>
    </row>
    <row r="429" spans="19:19" x14ac:dyDescent="0.25">
      <c r="S429" s="1"/>
    </row>
    <row r="430" spans="19:19" x14ac:dyDescent="0.25">
      <c r="S430" s="1"/>
    </row>
    <row r="431" spans="19:19" x14ac:dyDescent="0.25">
      <c r="S431" s="1"/>
    </row>
    <row r="432" spans="19:19" x14ac:dyDescent="0.25">
      <c r="S432" s="1"/>
    </row>
    <row r="433" spans="19:19" x14ac:dyDescent="0.25">
      <c r="S433" s="1"/>
    </row>
    <row r="434" spans="19:19" x14ac:dyDescent="0.25">
      <c r="S434" s="1"/>
    </row>
    <row r="435" spans="19:19" x14ac:dyDescent="0.25">
      <c r="S435" s="1"/>
    </row>
    <row r="436" spans="19:19" x14ac:dyDescent="0.25">
      <c r="S436" s="1"/>
    </row>
    <row r="437" spans="19:19" x14ac:dyDescent="0.25">
      <c r="S437" s="1"/>
    </row>
    <row r="438" spans="19:19" x14ac:dyDescent="0.25">
      <c r="S438" s="1"/>
    </row>
    <row r="439" spans="19:19" x14ac:dyDescent="0.25">
      <c r="S439" s="1"/>
    </row>
    <row r="440" spans="19:19" x14ac:dyDescent="0.25">
      <c r="S440" s="1"/>
    </row>
    <row r="441" spans="19:19" x14ac:dyDescent="0.25">
      <c r="S441" s="1"/>
    </row>
    <row r="442" spans="19:19" x14ac:dyDescent="0.25">
      <c r="S442" s="1"/>
    </row>
    <row r="443" spans="19:19" x14ac:dyDescent="0.25">
      <c r="S443" s="1"/>
    </row>
    <row r="444" spans="19:19" x14ac:dyDescent="0.25">
      <c r="S444" s="1"/>
    </row>
    <row r="445" spans="19:19" x14ac:dyDescent="0.25">
      <c r="S445" s="1"/>
    </row>
    <row r="446" spans="19:19" x14ac:dyDescent="0.25">
      <c r="S446" s="1"/>
    </row>
    <row r="447" spans="19:19" x14ac:dyDescent="0.25">
      <c r="S447" s="1"/>
    </row>
    <row r="448" spans="19:19" x14ac:dyDescent="0.25">
      <c r="S448" s="1"/>
    </row>
    <row r="449" spans="19:19" x14ac:dyDescent="0.25">
      <c r="S449" s="1"/>
    </row>
    <row r="450" spans="19:19" x14ac:dyDescent="0.25">
      <c r="S450" s="1"/>
    </row>
    <row r="451" spans="19:19" x14ac:dyDescent="0.25">
      <c r="S451" s="1"/>
    </row>
    <row r="452" spans="19:19" x14ac:dyDescent="0.25">
      <c r="S452" s="1"/>
    </row>
    <row r="453" spans="19:19" x14ac:dyDescent="0.25">
      <c r="S453" s="1"/>
    </row>
    <row r="454" spans="19:19" x14ac:dyDescent="0.25">
      <c r="S454" s="1"/>
    </row>
    <row r="455" spans="19:19" x14ac:dyDescent="0.25">
      <c r="S455" s="1"/>
    </row>
    <row r="456" spans="19:19" x14ac:dyDescent="0.25">
      <c r="S456" s="1"/>
    </row>
    <row r="457" spans="19:19" x14ac:dyDescent="0.25">
      <c r="S457" s="1"/>
    </row>
    <row r="458" spans="19:19" x14ac:dyDescent="0.25">
      <c r="S458" s="1"/>
    </row>
    <row r="459" spans="19:19" x14ac:dyDescent="0.25">
      <c r="S459" s="1"/>
    </row>
    <row r="460" spans="19:19" x14ac:dyDescent="0.25">
      <c r="S460" s="1"/>
    </row>
    <row r="461" spans="19:19" x14ac:dyDescent="0.25">
      <c r="S461" s="1"/>
    </row>
    <row r="462" spans="19:19" x14ac:dyDescent="0.25">
      <c r="S462" s="1"/>
    </row>
    <row r="463" spans="19:19" x14ac:dyDescent="0.25">
      <c r="S463" s="1"/>
    </row>
    <row r="464" spans="19:19" x14ac:dyDescent="0.25">
      <c r="S464" s="1"/>
    </row>
    <row r="465" spans="19:19" x14ac:dyDescent="0.25">
      <c r="S465" s="1"/>
    </row>
    <row r="466" spans="19:19" x14ac:dyDescent="0.25">
      <c r="S466" s="1"/>
    </row>
    <row r="467" spans="19:19" x14ac:dyDescent="0.25">
      <c r="S467" s="1"/>
    </row>
    <row r="468" spans="19:19" x14ac:dyDescent="0.25">
      <c r="S468" s="1"/>
    </row>
    <row r="469" spans="19:19" x14ac:dyDescent="0.25">
      <c r="S469" s="1"/>
    </row>
    <row r="470" spans="19:19" x14ac:dyDescent="0.25">
      <c r="S470" s="1"/>
    </row>
    <row r="471" spans="19:19" x14ac:dyDescent="0.25">
      <c r="S471" s="1"/>
    </row>
    <row r="472" spans="19:19" x14ac:dyDescent="0.25">
      <c r="S472" s="1"/>
    </row>
    <row r="473" spans="19:19" x14ac:dyDescent="0.25">
      <c r="S473" s="1"/>
    </row>
    <row r="474" spans="19:19" x14ac:dyDescent="0.25">
      <c r="S474" s="1"/>
    </row>
    <row r="475" spans="19:19" x14ac:dyDescent="0.25">
      <c r="S475" s="1"/>
    </row>
    <row r="476" spans="19:19" x14ac:dyDescent="0.25">
      <c r="S476" s="1"/>
    </row>
    <row r="477" spans="19:19" x14ac:dyDescent="0.25">
      <c r="S477" s="1"/>
    </row>
    <row r="478" spans="19:19" x14ac:dyDescent="0.25">
      <c r="S478" s="1"/>
    </row>
    <row r="479" spans="19:19" x14ac:dyDescent="0.25">
      <c r="S479" s="1"/>
    </row>
    <row r="480" spans="19:19" x14ac:dyDescent="0.25">
      <c r="S480" s="1"/>
    </row>
    <row r="481" spans="19:19" x14ac:dyDescent="0.25">
      <c r="S481" s="1"/>
    </row>
    <row r="482" spans="19:19" x14ac:dyDescent="0.25">
      <c r="S482" s="1"/>
    </row>
    <row r="483" spans="19:19" x14ac:dyDescent="0.25">
      <c r="S483" s="1"/>
    </row>
    <row r="484" spans="19:19" x14ac:dyDescent="0.25">
      <c r="S484" s="1"/>
    </row>
    <row r="485" spans="19:19" x14ac:dyDescent="0.25">
      <c r="S485" s="1"/>
    </row>
    <row r="486" spans="19:19" x14ac:dyDescent="0.25">
      <c r="S486" s="1"/>
    </row>
    <row r="487" spans="19:19" x14ac:dyDescent="0.25">
      <c r="S487" s="1"/>
    </row>
    <row r="488" spans="19:19" x14ac:dyDescent="0.25">
      <c r="S488" s="1"/>
    </row>
    <row r="489" spans="19:19" x14ac:dyDescent="0.25">
      <c r="S489" s="1"/>
    </row>
    <row r="490" spans="19:19" x14ac:dyDescent="0.25">
      <c r="S490" s="1"/>
    </row>
    <row r="491" spans="19:19" x14ac:dyDescent="0.25">
      <c r="S491" s="1"/>
    </row>
    <row r="492" spans="19:19" x14ac:dyDescent="0.25">
      <c r="S492" s="1"/>
    </row>
    <row r="493" spans="19:19" x14ac:dyDescent="0.25">
      <c r="S493" s="1"/>
    </row>
    <row r="494" spans="19:19" x14ac:dyDescent="0.25">
      <c r="S494" s="1"/>
    </row>
    <row r="495" spans="19:19" x14ac:dyDescent="0.25">
      <c r="S495" s="1"/>
    </row>
    <row r="496" spans="19:19" x14ac:dyDescent="0.25">
      <c r="S496" s="1"/>
    </row>
    <row r="497" spans="19:19" x14ac:dyDescent="0.25">
      <c r="S497" s="1"/>
    </row>
    <row r="498" spans="19:19" x14ac:dyDescent="0.25">
      <c r="S498" s="1"/>
    </row>
    <row r="499" spans="19:19" x14ac:dyDescent="0.25">
      <c r="S499" s="1"/>
    </row>
    <row r="500" spans="19:19" x14ac:dyDescent="0.25">
      <c r="S500" s="1"/>
    </row>
    <row r="501" spans="19:19" x14ac:dyDescent="0.25">
      <c r="S501" s="1"/>
    </row>
    <row r="502" spans="19:19" x14ac:dyDescent="0.25">
      <c r="S502" s="1"/>
    </row>
    <row r="503" spans="19:19" x14ac:dyDescent="0.25">
      <c r="S503" s="1"/>
    </row>
    <row r="504" spans="19:19" x14ac:dyDescent="0.25">
      <c r="S504" s="1"/>
    </row>
    <row r="505" spans="19:19" x14ac:dyDescent="0.25">
      <c r="S505" s="1"/>
    </row>
    <row r="506" spans="19:19" x14ac:dyDescent="0.25">
      <c r="S506" s="1"/>
    </row>
    <row r="507" spans="19:19" x14ac:dyDescent="0.25">
      <c r="S507" s="1"/>
    </row>
    <row r="508" spans="19:19" x14ac:dyDescent="0.25">
      <c r="S508" s="1"/>
    </row>
    <row r="509" spans="19:19" x14ac:dyDescent="0.25">
      <c r="S509" s="1"/>
    </row>
    <row r="510" spans="19:19" x14ac:dyDescent="0.25">
      <c r="S510" s="1"/>
    </row>
    <row r="511" spans="19:19" x14ac:dyDescent="0.25">
      <c r="S511" s="1"/>
    </row>
    <row r="512" spans="19:19" x14ac:dyDescent="0.25">
      <c r="S512" s="1"/>
    </row>
    <row r="513" spans="19:19" x14ac:dyDescent="0.25">
      <c r="S513" s="1"/>
    </row>
    <row r="514" spans="19:19" x14ac:dyDescent="0.25">
      <c r="S514" s="1"/>
    </row>
    <row r="515" spans="19:19" x14ac:dyDescent="0.25">
      <c r="S515" s="1"/>
    </row>
    <row r="516" spans="19:19" x14ac:dyDescent="0.25">
      <c r="S516" s="1"/>
    </row>
    <row r="517" spans="19:19" x14ac:dyDescent="0.25">
      <c r="S517" s="1"/>
    </row>
    <row r="518" spans="19:19" x14ac:dyDescent="0.25">
      <c r="S518" s="1"/>
    </row>
    <row r="519" spans="19:19" x14ac:dyDescent="0.25">
      <c r="S519" s="1"/>
    </row>
    <row r="520" spans="19:19" x14ac:dyDescent="0.25">
      <c r="S520" s="1"/>
    </row>
    <row r="521" spans="19:19" x14ac:dyDescent="0.25">
      <c r="S521" s="1"/>
    </row>
    <row r="522" spans="19:19" x14ac:dyDescent="0.25">
      <c r="S522" s="1"/>
    </row>
    <row r="523" spans="19:19" x14ac:dyDescent="0.25">
      <c r="S523" s="1"/>
    </row>
    <row r="524" spans="19:19" x14ac:dyDescent="0.25">
      <c r="S524" s="1"/>
    </row>
    <row r="525" spans="19:19" x14ac:dyDescent="0.25">
      <c r="S525" s="1"/>
    </row>
    <row r="526" spans="19:19" x14ac:dyDescent="0.25">
      <c r="S526" s="1"/>
    </row>
    <row r="527" spans="19:19" x14ac:dyDescent="0.25">
      <c r="S527" s="1"/>
    </row>
    <row r="528" spans="19:19" x14ac:dyDescent="0.25">
      <c r="S528" s="1"/>
    </row>
    <row r="529" spans="19:19" x14ac:dyDescent="0.25">
      <c r="S529" s="1"/>
    </row>
    <row r="530" spans="19:19" x14ac:dyDescent="0.25">
      <c r="S530" s="1"/>
    </row>
    <row r="531" spans="19:19" x14ac:dyDescent="0.25">
      <c r="S531" s="1"/>
    </row>
    <row r="532" spans="19:19" x14ac:dyDescent="0.25">
      <c r="S532" s="1"/>
    </row>
    <row r="533" spans="19:19" x14ac:dyDescent="0.25">
      <c r="S533" s="1"/>
    </row>
    <row r="534" spans="19:19" x14ac:dyDescent="0.25">
      <c r="S534" s="1"/>
    </row>
    <row r="535" spans="19:19" x14ac:dyDescent="0.25">
      <c r="S535" s="1"/>
    </row>
    <row r="536" spans="19:19" x14ac:dyDescent="0.25">
      <c r="S536" s="1"/>
    </row>
    <row r="537" spans="19:19" x14ac:dyDescent="0.25">
      <c r="S537" s="1"/>
    </row>
    <row r="538" spans="19:19" x14ac:dyDescent="0.25">
      <c r="S538" s="1"/>
    </row>
    <row r="539" spans="19:19" x14ac:dyDescent="0.25">
      <c r="S539" s="1"/>
    </row>
    <row r="540" spans="19:19" x14ac:dyDescent="0.25">
      <c r="S540" s="1"/>
    </row>
    <row r="541" spans="19:19" x14ac:dyDescent="0.25">
      <c r="S541" s="1"/>
    </row>
    <row r="542" spans="19:19" x14ac:dyDescent="0.25">
      <c r="S542" s="1"/>
    </row>
    <row r="543" spans="19:19" x14ac:dyDescent="0.25">
      <c r="S543" s="1"/>
    </row>
    <row r="544" spans="19:19" x14ac:dyDescent="0.25">
      <c r="S544" s="1"/>
    </row>
    <row r="545" spans="19:19" x14ac:dyDescent="0.25">
      <c r="S545" s="1"/>
    </row>
    <row r="546" spans="19:19" x14ac:dyDescent="0.25">
      <c r="S546" s="1"/>
    </row>
    <row r="547" spans="19:19" x14ac:dyDescent="0.25">
      <c r="S547" s="1"/>
    </row>
    <row r="548" spans="19:19" x14ac:dyDescent="0.25">
      <c r="S548" s="1"/>
    </row>
    <row r="549" spans="19:19" x14ac:dyDescent="0.25">
      <c r="S549" s="1"/>
    </row>
    <row r="550" spans="19:19" x14ac:dyDescent="0.25">
      <c r="S550" s="1"/>
    </row>
    <row r="551" spans="19:19" x14ac:dyDescent="0.25">
      <c r="S551" s="1"/>
    </row>
    <row r="552" spans="19:19" x14ac:dyDescent="0.25">
      <c r="S552" s="1"/>
    </row>
    <row r="553" spans="19:19" x14ac:dyDescent="0.25">
      <c r="S553" s="1"/>
    </row>
    <row r="554" spans="19:19" x14ac:dyDescent="0.25">
      <c r="S554" s="1"/>
    </row>
    <row r="555" spans="19:19" x14ac:dyDescent="0.25">
      <c r="S555" s="1"/>
    </row>
    <row r="556" spans="19:19" x14ac:dyDescent="0.25">
      <c r="S556" s="1"/>
    </row>
    <row r="557" spans="19:19" x14ac:dyDescent="0.25">
      <c r="S557" s="1"/>
    </row>
    <row r="558" spans="19:19" x14ac:dyDescent="0.25">
      <c r="S558" s="1"/>
    </row>
    <row r="559" spans="19:19" x14ac:dyDescent="0.25">
      <c r="S559" s="1"/>
    </row>
    <row r="560" spans="19:19" x14ac:dyDescent="0.25">
      <c r="S560" s="1"/>
    </row>
    <row r="561" spans="19:19" x14ac:dyDescent="0.25">
      <c r="S561" s="1"/>
    </row>
    <row r="562" spans="19:19" x14ac:dyDescent="0.25">
      <c r="S562" s="1"/>
    </row>
    <row r="563" spans="19:19" x14ac:dyDescent="0.25">
      <c r="S563" s="1"/>
    </row>
    <row r="564" spans="19:19" x14ac:dyDescent="0.25">
      <c r="S564" s="1"/>
    </row>
    <row r="565" spans="19:19" x14ac:dyDescent="0.25">
      <c r="S565" s="1"/>
    </row>
    <row r="566" spans="19:19" x14ac:dyDescent="0.25">
      <c r="S566" s="1"/>
    </row>
    <row r="567" spans="19:19" x14ac:dyDescent="0.25">
      <c r="S567" s="1"/>
    </row>
    <row r="568" spans="19:19" x14ac:dyDescent="0.25">
      <c r="S568" s="1"/>
    </row>
    <row r="569" spans="19:19" x14ac:dyDescent="0.25">
      <c r="S569" s="1"/>
    </row>
    <row r="570" spans="19:19" x14ac:dyDescent="0.25">
      <c r="S570" s="1"/>
    </row>
    <row r="571" spans="19:19" x14ac:dyDescent="0.25">
      <c r="S571" s="1"/>
    </row>
    <row r="572" spans="19:19" x14ac:dyDescent="0.25">
      <c r="S572" s="1"/>
    </row>
    <row r="573" spans="19:19" x14ac:dyDescent="0.25">
      <c r="S573" s="1"/>
    </row>
    <row r="574" spans="19:19" x14ac:dyDescent="0.25">
      <c r="S574" s="1"/>
    </row>
    <row r="575" spans="19:19" x14ac:dyDescent="0.25">
      <c r="S575" s="1"/>
    </row>
    <row r="576" spans="19:19" x14ac:dyDescent="0.25">
      <c r="S576" s="1"/>
    </row>
    <row r="577" spans="19:19" x14ac:dyDescent="0.25">
      <c r="S577" s="1"/>
    </row>
    <row r="578" spans="19:19" x14ac:dyDescent="0.25">
      <c r="S578" s="1"/>
    </row>
    <row r="579" spans="19:19" x14ac:dyDescent="0.25">
      <c r="S579" s="1"/>
    </row>
    <row r="580" spans="19:19" x14ac:dyDescent="0.25">
      <c r="S580" s="1"/>
    </row>
    <row r="581" spans="19:19" x14ac:dyDescent="0.25">
      <c r="S581" s="1"/>
    </row>
    <row r="582" spans="19:19" x14ac:dyDescent="0.25">
      <c r="S582" s="1"/>
    </row>
    <row r="583" spans="19:19" x14ac:dyDescent="0.25">
      <c r="S583" s="1"/>
    </row>
    <row r="584" spans="19:19" x14ac:dyDescent="0.25">
      <c r="S584" s="1"/>
    </row>
    <row r="585" spans="19:19" x14ac:dyDescent="0.25">
      <c r="S585" s="1"/>
    </row>
    <row r="586" spans="19:19" x14ac:dyDescent="0.25">
      <c r="S586" s="1"/>
    </row>
    <row r="587" spans="19:19" x14ac:dyDescent="0.25">
      <c r="S587" s="1"/>
    </row>
    <row r="588" spans="19:19" x14ac:dyDescent="0.25">
      <c r="S588" s="1"/>
    </row>
    <row r="589" spans="19:19" x14ac:dyDescent="0.25">
      <c r="S589" s="1"/>
    </row>
    <row r="590" spans="19:19" x14ac:dyDescent="0.25">
      <c r="S590" s="1"/>
    </row>
    <row r="591" spans="19:19" x14ac:dyDescent="0.25">
      <c r="S591" s="1"/>
    </row>
    <row r="592" spans="19:19" x14ac:dyDescent="0.25">
      <c r="S592" s="1"/>
    </row>
    <row r="593" spans="19:19" x14ac:dyDescent="0.25">
      <c r="S593" s="1"/>
    </row>
    <row r="594" spans="19:19" x14ac:dyDescent="0.25">
      <c r="S594" s="1"/>
    </row>
    <row r="595" spans="19:19" x14ac:dyDescent="0.25">
      <c r="S595" s="1"/>
    </row>
    <row r="596" spans="19:19" x14ac:dyDescent="0.25">
      <c r="S596" s="1"/>
    </row>
    <row r="597" spans="19:19" x14ac:dyDescent="0.25">
      <c r="S597" s="1"/>
    </row>
    <row r="598" spans="19:19" x14ac:dyDescent="0.25">
      <c r="S598" s="1"/>
    </row>
    <row r="599" spans="19:19" x14ac:dyDescent="0.25">
      <c r="S599" s="1"/>
    </row>
    <row r="600" spans="19:19" x14ac:dyDescent="0.25">
      <c r="S600" s="1"/>
    </row>
    <row r="601" spans="19:19" x14ac:dyDescent="0.25">
      <c r="S601" s="1"/>
    </row>
    <row r="602" spans="19:19" x14ac:dyDescent="0.25">
      <c r="S602" s="1"/>
    </row>
  </sheetData>
  <autoFilter ref="A1:R396" xr:uid="{00000000-0009-0000-0000-000000000000}">
    <filterColumn colId="7">
      <filters>
        <filter val="PÁTIO SN INTERMODAL"/>
      </filters>
    </filterColumn>
    <sortState xmlns:xlrd2="http://schemas.microsoft.com/office/spreadsheetml/2017/richdata2" ref="A3:R396">
      <sortCondition ref="B1:B396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Gabriel Nascimento</cp:lastModifiedBy>
  <dcterms:created xsi:type="dcterms:W3CDTF">2026-03-12T12:05:59Z</dcterms:created>
  <dcterms:modified xsi:type="dcterms:W3CDTF">2026-03-13T02:19:31Z</dcterms:modified>
</cp:coreProperties>
</file>